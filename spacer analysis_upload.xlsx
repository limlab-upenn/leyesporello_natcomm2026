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18"/>
  <workbookPr/>
  <mc:AlternateContent xmlns:mc="http://schemas.openxmlformats.org/markup-compatibility/2006">
    <mc:Choice Requires="x15">
      <x15ac:absPath xmlns:x15ac="http://schemas.microsoft.com/office/spreadsheetml/2010/11/ac" url="/Users/bomyilim/Library/CloudStorage/GoogleDrive-bomyilim@seas.upenn.edu/My Drive/Students/Emilia/Emilia_backup/MATLAB codes/"/>
    </mc:Choice>
  </mc:AlternateContent>
  <xr:revisionPtr revIDLastSave="0" documentId="13_ncr:1_{7170174A-0364-5C42-A881-AB63B47B1E05}" xr6:coauthVersionLast="47" xr6:coauthVersionMax="47" xr10:uidLastSave="{00000000-0000-0000-0000-000000000000}"/>
  <bookViews>
    <workbookView xWindow="0" yWindow="600" windowWidth="28800" windowHeight="15720" activeTab="1" xr2:uid="{00000000-000D-0000-FFFF-FFFF00000000}"/>
  </bookViews>
  <sheets>
    <sheet name="spacer analysis" sheetId="2" r:id="rId1"/>
    <sheet name="zero, start, end" sheetId="1" r:id="rId2"/>
    <sheet name="CZI file storage locations" sheetId="3" r:id="rId3"/>
    <sheet name="Fly Lines for IBC" sheetId="4" r:id="rId4"/>
  </sheets>
  <calcPr calcId="191029" iterateCount="1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4" i="1" l="1"/>
  <c r="E233" i="1"/>
  <c r="E232" i="1"/>
  <c r="E231" i="1"/>
  <c r="E230" i="1"/>
  <c r="E224" i="1"/>
  <c r="E223" i="1"/>
  <c r="E222" i="1"/>
  <c r="E221" i="1"/>
  <c r="E220" i="1"/>
  <c r="E213" i="1"/>
  <c r="E212" i="1"/>
  <c r="E211" i="1"/>
  <c r="E210" i="1"/>
  <c r="E204" i="1"/>
  <c r="E203" i="1"/>
  <c r="E202" i="1"/>
  <c r="E201" i="1"/>
  <c r="E195" i="1"/>
  <c r="E194" i="1"/>
  <c r="E193" i="1"/>
  <c r="E192" i="1"/>
  <c r="E184" i="1"/>
  <c r="E183" i="1"/>
  <c r="E182" i="1"/>
  <c r="E175" i="1"/>
  <c r="E174" i="1"/>
  <c r="E173" i="1"/>
  <c r="E166" i="1"/>
  <c r="E165" i="1"/>
  <c r="E164" i="1"/>
  <c r="E157" i="1"/>
  <c r="E156" i="1"/>
  <c r="E155" i="1"/>
  <c r="E148" i="1"/>
  <c r="E147" i="1"/>
  <c r="E146" i="1"/>
  <c r="E139" i="1"/>
  <c r="E138" i="1"/>
  <c r="E137" i="1"/>
  <c r="E130" i="1"/>
  <c r="E129" i="1"/>
  <c r="E128" i="1"/>
  <c r="E123" i="1"/>
  <c r="E122" i="1"/>
  <c r="E121" i="1"/>
  <c r="E120" i="1"/>
  <c r="E114" i="1"/>
  <c r="E113" i="1"/>
  <c r="E112" i="1"/>
  <c r="E111" i="1"/>
  <c r="E105" i="1"/>
  <c r="E104" i="1"/>
  <c r="E103" i="1"/>
  <c r="E102" i="1"/>
  <c r="E96" i="1"/>
  <c r="E95" i="1"/>
  <c r="E94" i="1"/>
  <c r="E93" i="1"/>
  <c r="E87" i="1"/>
  <c r="E86" i="1"/>
  <c r="E85" i="1"/>
  <c r="E84" i="1"/>
  <c r="E78" i="1"/>
  <c r="E76" i="1"/>
  <c r="E77" i="1"/>
  <c r="E67" i="1"/>
  <c r="E75" i="1"/>
  <c r="E69" i="1"/>
  <c r="E68" i="1"/>
  <c r="E60" i="1"/>
  <c r="E62" i="1"/>
  <c r="E61" i="1"/>
  <c r="E59" i="1"/>
  <c r="E58" i="1"/>
  <c r="E54" i="1"/>
  <c r="E53" i="1"/>
  <c r="E52" i="1"/>
  <c r="E51" i="1"/>
  <c r="E47" i="1"/>
  <c r="E46" i="1"/>
  <c r="E45" i="1"/>
  <c r="E44" i="1"/>
  <c r="E40" i="1"/>
  <c r="E39" i="1"/>
  <c r="E38" i="1"/>
  <c r="E37" i="1"/>
  <c r="E33" i="1"/>
  <c r="E32" i="1"/>
  <c r="E31" i="1"/>
  <c r="E30" i="1"/>
  <c r="E26" i="1"/>
  <c r="E25" i="1"/>
  <c r="E24" i="1"/>
  <c r="E23" i="1"/>
  <c r="E12" i="1"/>
  <c r="E11" i="1"/>
  <c r="E10" i="1"/>
  <c r="E9" i="1"/>
  <c r="E5" i="1"/>
  <c r="E4" i="1"/>
  <c r="E3" i="1"/>
  <c r="E19" i="1"/>
  <c r="E18" i="1"/>
  <c r="E17" i="1"/>
  <c r="E16" i="1"/>
</calcChain>
</file>

<file path=xl/sharedStrings.xml><?xml version="1.0" encoding="utf-8"?>
<sst xmlns="http://schemas.openxmlformats.org/spreadsheetml/2006/main" count="702" uniqueCount="391">
  <si>
    <t>evePr_2.5(7.7kb)_snaSE</t>
  </si>
  <si>
    <t>zero frame</t>
  </si>
  <si>
    <t>start frame</t>
  </si>
  <si>
    <t>end frame</t>
  </si>
  <si>
    <t>video length</t>
  </si>
  <si>
    <t>time resolution (sec/frame)</t>
  </si>
  <si>
    <t>notes</t>
  </si>
  <si>
    <t>snaSE_1.3_evePr</t>
  </si>
  <si>
    <t>Embryo</t>
  </si>
  <si>
    <t>emb01</t>
  </si>
  <si>
    <t>emb02</t>
  </si>
  <si>
    <t>emb03</t>
  </si>
  <si>
    <t>emb04</t>
  </si>
  <si>
    <t>snaSE_6.3_evePr</t>
  </si>
  <si>
    <t>snaSE-8.8-evePr</t>
  </si>
  <si>
    <t>evePr_7.5(12kb)_snaSE</t>
  </si>
  <si>
    <t>Need to segment first 7 frames individually (54-60)</t>
  </si>
  <si>
    <t>Need to segment first 7 frames individually (70-76)</t>
  </si>
  <si>
    <t>Will need to trim top and bottom of image - smaller embryo</t>
  </si>
  <si>
    <t>C:\Users\Emilia Leyes Porello\OneDrive - PennO365\Penn Research\Enhancer-Promoter Spacers\Fly imaging\evePr-7.5(12kb)-snaSE x 2color x yw - M2\Images and data for all replicates\MAX_evePr_7.5(12kb)_snaSE_M2_emb01\</t>
  </si>
  <si>
    <t>MAX_evePr_7.5(12kb)_snaSE_M2_emb01.tif</t>
  </si>
  <si>
    <t>C:\Users\Emilia Leyes Porello\OneDrive - PennO365\Penn Research\Enhancer-Promoter Spacers\Fly imaging\evePr-7.5(12kb)-snaSE x 2color x yw - M2\Images and data for all replicates\MAX_evePr_7.5(12kb)_snaSE_M2_emb02\</t>
  </si>
  <si>
    <t>MAX_evePr_7.5(12kb)_snaSE_M2_emb02.tif</t>
  </si>
  <si>
    <t>C:\Users\Emilia Leyes Porello\OneDrive - PennO365\Penn Research\Enhancer-Promoter Spacers\Fly imaging\evePr-7.5(12kb)-snaSE x 2color x yw - M2\Images and data for all replicates\MAX_evePr_7.5(12kb)_snaSE_M2_emb03\</t>
  </si>
  <si>
    <t>MAX_evePr_7.5(12kb)_snaSE_M2_emb03.tif</t>
  </si>
  <si>
    <t>Folder path</t>
  </si>
  <si>
    <t>Max projection .tif file name</t>
  </si>
  <si>
    <t>gastrulation line</t>
  </si>
  <si>
    <t>C:\Users\Emilia Leyes Porello\OneDrive - PennO365\Penn Research\Enhancer-Promoter Spacers\Fly imaging\snase-8.8-evepr x 2color x yw - M2\Images and data for all replicates\MAX_snaSE_8.8_evePr_M2_emb01\</t>
  </si>
  <si>
    <t>MAX_snaSE_8.8_evePr_M2_emb01.tif</t>
  </si>
  <si>
    <t>MAX_snaSE_8.8_evePr_M2_emb02.tif</t>
  </si>
  <si>
    <t>MAX_snaSE_8.8_evePr_M2_emb03.tif</t>
  </si>
  <si>
    <t>C:\Users\Emilia Leyes Porello\OneDrive - PennO365\Penn Research\Enhancer-Promoter Spacers\Fly imaging\snase-8.8-evepr x 2color x yw - M2\Images and data for all replicates\MAX_snaSE_8.8_evePr_M2_emb02\</t>
  </si>
  <si>
    <t>C:\Users\Emilia Leyes Porello\OneDrive - PennO365\Penn Research\Enhancer-Promoter Spacers\Fly imaging\snase-8.8-evepr x 2color x yw - M2\Images and data for all replicates\MAX_snaSE_8.8_evePr_M2_emb03\</t>
  </si>
  <si>
    <t>C:\Users\Emilia Leyes Porello\OneDrive - PennO365\Penn Research\Enhancer-Promoter Spacers\Fly imaging\evePr_2.5(7.7kb)_snaSE x 2color x yw - M3\Images and data for all replicates\MAX_evePr_2.5(7.7kb)_snaSE_emb01\</t>
  </si>
  <si>
    <t>MAX_evePr_2.5(7.7kb)_snaSE_emb01.tif</t>
  </si>
  <si>
    <t>MAX_evePr_2.5(7.7kb)_snaSE_emb02.tif</t>
  </si>
  <si>
    <t>MAX_evePr_2.5(7.7kb)_snaSE_emb03.tif</t>
  </si>
  <si>
    <t>C:\Users\Emilia Leyes Porello\OneDrive - PennO365\Penn Research\Enhancer-Promoter Spacers\Fly imaging\evePr_2.5(7.7kb)_snaSE x 2color x yw - M3\Images and data for all replicates\MAX_evePr_2.5(7.7kb)_snaSE_emb02\</t>
  </si>
  <si>
    <t>C:\Users\Emilia Leyes Porello\OneDrive - PennO365\Penn Research\Enhancer-Promoter Spacers\Fly imaging\evePr_2.5(7.7kb)_snaSE x 2color x yw - M3\Images and data for all replicates\MAX_evePr_2.5(7.7kb)_snaSE_emb03\</t>
  </si>
  <si>
    <t>C:\Users\Emilia Leyes Porello\OneDrive - PennO365\Penn Research\Enhancer-Promoter Spacers\Fly imaging\snase-6.3-evepr x 2color x yw - M2\Images and data for all replicates\MAX_snaSE_6.3_evePr_M2_emb01\</t>
  </si>
  <si>
    <t>MAX_snaSE_6.3_evePr_M2_emb01.tif</t>
  </si>
  <si>
    <t>MAX_snaSE_6.3_evePr_M2_emb02.tif</t>
  </si>
  <si>
    <t>MAX_snaSE_6.3_evePr_M2_emb03.tif</t>
  </si>
  <si>
    <t>C:\Users\Emilia Leyes Porello\OneDrive - PennO365\Penn Research\Enhancer-Promoter Spacers\Fly imaging\snase-6.3-evepr x 2color x yw - M2\Images and data for all replicates\MAX_snaSE_6.3_evePr_M2_emb02\</t>
  </si>
  <si>
    <t>C:\Users\Emilia Leyes Porello\OneDrive - PennO365\Penn Research\Enhancer-Promoter Spacers\Fly imaging\snase-6.3-evepr x 2color x yw - M2\Images and data for all replicates\MAX_snaSE_6.3_evePr_M2_emb03\</t>
  </si>
  <si>
    <t>C:\Users\Emilia Leyes Porello\OneDrive - PennO365\Penn Research\Enhancer-Promoter Spacers\Fly imaging\snaSE_1.3_evePr x 2color x yw - M3\Images and data for all replicates\MAX_snaSE_1.3_evePr_emb01\</t>
  </si>
  <si>
    <t>MAX_snaSE_1.3_evePr_emb01.tif</t>
  </si>
  <si>
    <t>C:\Users\Emilia Leyes Porello\OneDrive - PennO365\Penn Research\Enhancer-Promoter Spacers\Fly imaging\snaSE_1.3_evePr x 2color x yw - M3\Images and data for all replicates\MAX_snaSE_1.3_evePr_emb02\</t>
  </si>
  <si>
    <t>MAX_snaSE_1.3_evePr_emb02.tif</t>
  </si>
  <si>
    <t>C:\Users\Emilia Leyes Porello\OneDrive - PennO365\Penn Research\Enhancer-Promoter Spacers\Fly imaging\snaSE_1.3_evePr x 2color x yw - M3\Images and data for all replicates\MAX_snaSE_1.3_evePr_emb03\</t>
  </si>
  <si>
    <t>MAX_snaSE_1.3_evePr_emb03.tif</t>
  </si>
  <si>
    <t>C:\Users\Emilia Leyes Porello\OneDrive - PennO365\Penn Research\Enhancer-Promoter Spacers\Fly imaging\snase-8.8-evepr x 2color x yw - M4\Images and data for all replicates\MAX_snase_8.8_evepr_M4_emb02\</t>
  </si>
  <si>
    <t>MAX_snase_8.8_evepr_M4_emb02.tif</t>
  </si>
  <si>
    <t>Notes</t>
  </si>
  <si>
    <t>New 8.8kb spacer data (aug 2023)</t>
  </si>
  <si>
    <t>C:\Users\Emilia Leyes Porello\OneDrive - PennO365\Penn Research\Enhancer-Promoter Spacers\Fly imaging\snase-8.8-evepr x 2color x yw - M4\Images and data for all replicates\MAX_snase_8.8_evepr_M4_emb04\</t>
  </si>
  <si>
    <t>C:\Users\Emilia Leyes Porello\OneDrive - PennO365\Penn Research\Enhancer-Promoter Spacers\Fly imaging\snase-8.8-evepr x 2color x yw - M4\Images and data for all replicates\MAX_snase_8.8_evepr_M4_emb05\</t>
  </si>
  <si>
    <t>MAX_snase_8.8_evepr_M4_emb04.tif</t>
  </si>
  <si>
    <t>MAX_snase_8.8_evepr_M4_emb05.tif</t>
  </si>
  <si>
    <t>C:\Users\Emilia Leyes Porello\OneDrive - PennO365\Penn Research\Enhancer-Promoter Spacers\Fly imaging\NOsnaSE x 2color x yw - M5\Images and data for all replicates\MAX_NOsnaSE_emb01\</t>
  </si>
  <si>
    <t>MAX_NOsnaSE_emb01.tif</t>
  </si>
  <si>
    <t>C:\Users\Emilia Leyes Porello\OneDrive - PennO365\Penn Research\Enhancer-Promoter Spacers\Fly imaging\NOsnaSE x 2color x yw - M5\Images and data for all replicates\MAX_NOsnaSE_emb02\</t>
  </si>
  <si>
    <t>C:\Users\Emilia Leyes Porello\OneDrive - PennO365\Penn Research\Enhancer-Promoter Spacers\Fly imaging\NOsnaSE x 2color x yw - M5\Images and data for all replicates\MAX_NOsnaSE_emb03\</t>
  </si>
  <si>
    <t>MAX_NOsnaSE_emb02.tif</t>
  </si>
  <si>
    <t>MAX_NOsnaSE_emb03.tif</t>
  </si>
  <si>
    <t>File Name</t>
  </si>
  <si>
    <t>8.8kb-emb01</t>
  </si>
  <si>
    <t>8.8kb-emb02</t>
  </si>
  <si>
    <t>8.8kb-emb03</t>
  </si>
  <si>
    <t>NOsnaSE-emb01</t>
  </si>
  <si>
    <t>NOsnaSE-emb02</t>
  </si>
  <si>
    <t>NOsnaSE-emb03</t>
  </si>
  <si>
    <t>MAX_snase_evePr_M2_emb01.tif</t>
  </si>
  <si>
    <t>C:\Users\Emilia Leyes Porello\OneDrive - PennO365\Penn Research\Enhancer-Promoter Spacers\Fly imaging\snase-evepr x 2color x yw - M2\Images and data for all replicates\MAX_snase_evePr_M2_emb01\</t>
  </si>
  <si>
    <t>C:\Users\Emilia Leyes Porello\OneDrive - PennO365\Penn Research\Enhancer-Promoter Spacers\Fly imaging\snase-evepr x 2color x yw - M2\Images and data for all replicates\MAX_snase_evePr_M2_emb02\</t>
  </si>
  <si>
    <t>evaluate top (1), bottom (2), both (3)</t>
  </si>
  <si>
    <t>C:\Users\Emilia Leyes Porello\OneDrive - PennO365\Penn Research\Enhancer-Promoter Spacers\Fly imaging\snase-evepr x 2color x yw - M2\Images and data for all replicates\MAX_snase_evePr_M2_emb03\</t>
  </si>
  <si>
    <t>MAX_snase_evePr_M2_emb02.tif</t>
  </si>
  <si>
    <t>MAX_snase_evePr_M2_emb03.tif</t>
  </si>
  <si>
    <t>0kb-UP-emb01 (M2)</t>
  </si>
  <si>
    <t>0kb-UP-emb02 (M2)</t>
  </si>
  <si>
    <t>0kb-UP-emb03 (M2)</t>
  </si>
  <si>
    <t>1.3kb-UP-emb01</t>
  </si>
  <si>
    <t>1.3kb-UP-emb02</t>
  </si>
  <si>
    <t>1.3kb-UP-emb03</t>
  </si>
  <si>
    <t>6.3kb-UP-emb01</t>
  </si>
  <si>
    <t>6.3kb-UP-emb02</t>
  </si>
  <si>
    <t>6.3kb-UP-emb03</t>
  </si>
  <si>
    <t>8.8kb-UP-emb02</t>
  </si>
  <si>
    <t>8.8kb-UP-emb04</t>
  </si>
  <si>
    <t>8.8kb-UP-emb05</t>
  </si>
  <si>
    <t>7.7kb-DOWN-emb01</t>
  </si>
  <si>
    <t>7.7kb-DOWN-emb02</t>
  </si>
  <si>
    <t>7.7kb-DOWN-emb03</t>
  </si>
  <si>
    <t>10kb-DOWN-emb01</t>
  </si>
  <si>
    <t>10kb-DOWN-emb02</t>
  </si>
  <si>
    <t>10kb-DOWN-emb03</t>
  </si>
  <si>
    <t>evePr-7.7-snaSE-truncYellow</t>
  </si>
  <si>
    <t>evePr-10-snaSE-truncYellow</t>
  </si>
  <si>
    <t>not great video</t>
  </si>
  <si>
    <t>7.7kb-DOWN-t.Yel-emb02</t>
  </si>
  <si>
    <t>7.7kb-DOWN-t.Yel-emb03</t>
  </si>
  <si>
    <t>7.7kb-DOWN-t.Yel-emb04</t>
  </si>
  <si>
    <t>10kb-DOWN-t.Yel-emb02</t>
  </si>
  <si>
    <t>10kb-DOWN-t.Yel-emb01</t>
  </si>
  <si>
    <t>10kb-DOWN-t.Yel-emb03</t>
  </si>
  <si>
    <t>C:\Users\Emilia Leyes Porello\OneDrive - PennO365\Penn Research\Enhancer-Promoter Spacers\Fly imaging\evePr_7.7_t.Yellow_snaSE x 2color x yw - M2\Images and data for all replicates\MAX_evePr_7.7_t.Yellow_snaSE_M2_emb02\</t>
  </si>
  <si>
    <t>MAX_evePr_7.7_t.Yellow_snaSE_M2_emb02.tif</t>
  </si>
  <si>
    <t>MAX_evePr_7.7_t.Yellow_snaSE_M2_emb03.tif</t>
  </si>
  <si>
    <t>MAX_evePr_7.7_t.Yellow_snaSE_M2_emb04.tif</t>
  </si>
  <si>
    <t>C:\Users\Emilia Leyes Porello\OneDrive - PennO365\Penn Research\Enhancer-Promoter Spacers\Fly imaging\evePr_7.7_t.Yellow_snaSE x 2color x yw - M2\Images and data for all replicates\MAX_evePr_7.7_t.Yellow_snaSE_M2_emb03\</t>
  </si>
  <si>
    <t>C:\Users\Emilia Leyes Porello\OneDrive - PennO365\Penn Research\Enhancer-Promoter Spacers\Fly imaging\evePr_7.7_t.Yellow_snaSE x 2color x yw - M2\Images and data for all replicates\MAX_evePr_7.7_t.Yellow_snaSE_M2_emb04\</t>
  </si>
  <si>
    <t>C:\Users\Emilia Leyes Porello\OneDrive - PennO365\Penn Research\Enhancer-Promoter Spacers\Fly imaging\evePr-10-t.Yellow_snaSE x 2color x yw - M1\Images and data for all replicates\MAX_evePr_10_t.Yellow_snaSE_M1_emb01\</t>
  </si>
  <si>
    <t>MAX_evePr_10_t.Yellow_snaSE_M1_emb01.tif</t>
  </si>
  <si>
    <t>MAX_evePr_10_t.Yellow_snaSE_M1_emb02.tif</t>
  </si>
  <si>
    <t>MAX_evePr_10_t.Yellow_snaSE_M1_emb03.tif</t>
  </si>
  <si>
    <t>C:\Users\Emilia Leyes Porello\OneDrive - PennO365\Penn Research\Enhancer-Promoter Spacers\Fly imaging\evePr-10-t.Yellow_snaSE x 2color x yw - M1\Images and data for all replicates\MAX_evePr_10_t.Yellow_snaSE_M1_emb03\</t>
  </si>
  <si>
    <t>Contstruct Names</t>
  </si>
  <si>
    <t>1.3kb-UP</t>
  </si>
  <si>
    <t>6.3kb-UP</t>
  </si>
  <si>
    <t>NoEnh</t>
  </si>
  <si>
    <t>7.7kb-DOWN-t.Yel</t>
  </si>
  <si>
    <t>10kb-DOWN-t.Yel</t>
  </si>
  <si>
    <t>0kb-UP (M2)</t>
  </si>
  <si>
    <t>for loop idx</t>
  </si>
  <si>
    <t>Construct Lengths</t>
  </si>
  <si>
    <t>evePr_7.7_truncYellow_E1</t>
  </si>
  <si>
    <t>evePr_7.7_truncYellow_E2</t>
  </si>
  <si>
    <t>7.7kb-DOWN-t.Yel-E1</t>
  </si>
  <si>
    <t>7.7kb-DOWN-t.Yel-E1-emb01</t>
  </si>
  <si>
    <t>7.7kb-DOWN-t.Yel-E1-emb02</t>
  </si>
  <si>
    <t>7.7kb-DOWN-t.Yel-E1-emb04</t>
  </si>
  <si>
    <t>MAX_evePr-7.7-tYel-E1_M5_emb01.tif</t>
  </si>
  <si>
    <t>MAX_evePr-7.7-tYel-E1_M5_emb02.tif</t>
  </si>
  <si>
    <t>MAX_evePr-7.7-tYel-E1_M5_emb04.tif</t>
  </si>
  <si>
    <t>gastrulation line irrelevant - lateral imaging</t>
  </si>
  <si>
    <t>emb05</t>
  </si>
  <si>
    <t>7.7kb-DOWN-t.Yel-E2</t>
  </si>
  <si>
    <t>7.7kb-DOWN-t.Yel-E2-emb01</t>
  </si>
  <si>
    <t>7.7kb-DOWN-t.Yel-E2-emb02</t>
  </si>
  <si>
    <t>7.7kb-DOWN-t.Yel-E2-emb03</t>
  </si>
  <si>
    <t>7.7kb-DOWN-t.Yel-E2-emb04</t>
  </si>
  <si>
    <t>C:\Users\Emilia Leyes Porello\OneDrive - PennO365\Penn Research\Enhancer-Promoter Spacers\Fly imaging\evePr-7.7-tYel-E2 x2colorxyw - M1\Images and data for all replicates\MAX_evePr_7.7_tYel_E2_M1_emb02\</t>
  </si>
  <si>
    <t>C:\Users\Emilia Leyes Porello\OneDrive - PennO365\Penn Research\Enhancer-Promoter Spacers\Fly imaging\evePr-7.7-tYel-E2 x2colorxyw - M1\Images and data for all replicates\MAX_evePr_7.7_tYel_E2_M1_emb03\</t>
  </si>
  <si>
    <t>C:\Users\Emilia Leyes Porello\OneDrive - PennO365\Penn Research\Enhancer-Promoter Spacers\Fly imaging\evePr-7.7-tYel-E2 x2colorxyw - M1\Images and data for all replicates\MAX_evePr_7.7_tYel_E2_M1_emb04\</t>
  </si>
  <si>
    <t>MAX_evePr_7.7_tYel_E2_M1_emb02.tif</t>
  </si>
  <si>
    <t>MAX_evePr_7.7_tYel_E2_M1_emb03.tif</t>
  </si>
  <si>
    <t>MAX_evePr_7.7_tYel_E2_M1_emb04.tif</t>
  </si>
  <si>
    <t>C:\Users\Emilia Leyes Porello\OneDrive - PennO365\Penn Research\Enhancer-Promoter Spacers\Fly imaging\evePr-7.7-tYel-E1 x2colorxyw - M5\Images and data for all replicates\MAX_evePr-7.7-tYel-E1_M5_emb01\</t>
  </si>
  <si>
    <t>C:\Users\Emilia Leyes Porello\OneDrive - PennO365\Penn Research\Enhancer-Promoter Spacers\Fly imaging\evePr-7.7-tYel-E1 x2colorxyw - M5\Images and data for all replicates\MAX_evePr-7.7-tYel-E1_M5_emb02\</t>
  </si>
  <si>
    <t>C:\Users\Emilia Leyes Porello\OneDrive - PennO365\Penn Research\Enhancer-Promoter Spacers\Fly imaging\evePr-7.7-tYel-E1 x2colorxyw - M5\Images and data for all replicates\MAX_evePr-7.7-tYel-E1_M5_emb04\</t>
  </si>
  <si>
    <t>7.7kb-DOWN-LacZ</t>
  </si>
  <si>
    <t>10kb-DOWN-LacZ</t>
  </si>
  <si>
    <t>snaSE-7.6-evePr-truncYellow_M2</t>
  </si>
  <si>
    <t>7.6kb-UP-t.Yel</t>
  </si>
  <si>
    <t>7.6kb-UP-t.Yel-emb02</t>
  </si>
  <si>
    <t>7.6kb-UP-t.Yel-emb01</t>
  </si>
  <si>
    <t>7.6kb-UP-t.Yel-emb03</t>
  </si>
  <si>
    <t>MAX_snaSE_7.6_evePr_truncYellow_M2_emb01.tif</t>
  </si>
  <si>
    <t>MAX_snaSE_7.6_evePr_truncYellow_M2_emb02.tif</t>
  </si>
  <si>
    <t>MAX_snaSE_7.6_evePr_truncYellow_M2_emb03.tif</t>
  </si>
  <si>
    <t>E2_7.6_evePr_t.Yel_M4</t>
  </si>
  <si>
    <t>E1_7.6_evePr_t.Yel_M3</t>
  </si>
  <si>
    <t>7.6kb-UP-t.Yel-E1</t>
  </si>
  <si>
    <t>7.6kb-UP-t.Yel-E2</t>
  </si>
  <si>
    <t>7.6kb-UP-t.Yel_E1-emb01</t>
  </si>
  <si>
    <t>7.6kb-UP-t.Yel-E1-emb02</t>
  </si>
  <si>
    <t>7.6kb-UP-t.Yel-E1-emb03</t>
  </si>
  <si>
    <t>C:\Users\Emilia Leyes Porello\OneDrive - PennO365\Penn Research\Enhancer-Promoter Spacers\Fly imaging\snaSE_7.6_evePr_truncYellow X 2color x yw - M2\Images and data for all replicates\MAX_snaSE_7.6_evePr_truncYellow_M2_emb01\</t>
  </si>
  <si>
    <t>C:\Users\Emilia Leyes Porello\OneDrive - PennO365\Penn Research\Enhancer-Promoter Spacers\Fly imaging\snaSE_7.6_evePr_truncYellow X 2color x yw - M2\Images and data for all replicates\MAX_snaSE_7.6_evePr_truncYellow_M2_emb02\</t>
  </si>
  <si>
    <t>C:\Users\Emilia Leyes Porello\OneDrive - PennO365\Penn Research\Enhancer-Promoter Spacers\Fly imaging\snaSE_7.6_evePr_truncYellow X 2color x yw - M2\Images and data for all replicates\MAX_snaSE_7.6_evePr_truncYellow_M2_emb03\</t>
  </si>
  <si>
    <t>C:\Users\Emilia Leyes Porello\OneDrive - PennO365\Penn Research\Enhancer-Promoter Spacers\Fly imaging\E1-7.6-evePr-truncYel x 2color x  yw - M3\Images and data for all replicates\MAX_E1-7.6-evePr-truncYel_M3_emb01\</t>
  </si>
  <si>
    <t>C:\Users\Emilia Leyes Porello\OneDrive - PennO365\Penn Research\Enhancer-Promoter Spacers\Fly imaging\E1-7.6-evePr-truncYel x 2color x  yw - M3\Images and data for all replicates\MAX_E1-7.6-evePr-truncYel_M3_emb03\</t>
  </si>
  <si>
    <t>C:\Users\Emilia Leyes Porello\OneDrive - PennO365\Penn Research\Enhancer-Promoter Spacers\Fly imaging\E1-7.6-evePr-truncYel x 2color x  yw - M3\Images and data for all replicates\MAX_E1-7.6-evePr-truncYel_M3_emb02\</t>
  </si>
  <si>
    <t>MAX_E1-7.6-evePr-truncYel_M3_emb01.tif</t>
  </si>
  <si>
    <t>MAX_E1-7.6-evePr-truncYel_M3_emb02.tif</t>
  </si>
  <si>
    <t>MAX_E1-7.6-evePr-truncYel_M3_emb03.tif</t>
  </si>
  <si>
    <t>C:\Users\Emilia Leyes Porello\OneDrive - PennO365\Penn Research\Enhancer-Promoter Spacers\Fly imaging\E2-7.6-evePr-truncYel x 2color x yw - M4\Images and data for all replicates\MAX_E2_7.6_evePr_t.Yel_M4_emb01\</t>
  </si>
  <si>
    <t>MAX_E2_7.6_evePr_t.Yel_M4_emb01.tif</t>
  </si>
  <si>
    <t>C:\Users\Emilia Leyes Porello\OneDrive - PennO365\Penn Research\Enhancer-Promoter Spacers\Fly imaging\E2-7.6-evePr-truncYel x 2color x yw - M4\Images and data for all replicates\MAX_E2_7.6_evePr_t.Yel_M4_emb02\</t>
  </si>
  <si>
    <t>C:\Users\Emilia Leyes Porello\OneDrive - PennO365\Penn Research\Enhancer-Promoter Spacers\Fly imaging\E2-7.6-evePr-truncYel x 2color x yw - M4\Images and data for all replicates\MAX_E2_7.6_evePr_t.Yel_M4_emb03\</t>
  </si>
  <si>
    <t>MAX_E2_7.6_evePr_t.Yel_M4_emb02.tif</t>
  </si>
  <si>
    <t>MAX_E2_7.6_evePr_t.Yel_M4_emb03.tif</t>
  </si>
  <si>
    <t>7.6kb-UP-t.Yel_E2-emb01</t>
  </si>
  <si>
    <t>7.6kb-UP-t.Yel-E2-emb02</t>
  </si>
  <si>
    <t>7.6kb-UP-t.Yel-E2-emb03</t>
  </si>
  <si>
    <t>construct idx</t>
  </si>
  <si>
    <t>snaSE_7.6_evePr_LacZ_M3</t>
  </si>
  <si>
    <t>7.6kb-UP (M3)</t>
  </si>
  <si>
    <t>7.6kb-UP (M4)</t>
  </si>
  <si>
    <t>C:\Users\Emilia Leyes Porello\OneDrive - PennO365\Penn Research\Enhancer-Promoter Spacers\Fly imaging\snaSE-7.6-evePr x 2color x yw - M3\Images and data for all replicates\MAX_snase_7.6_evepr_M3_emb01\</t>
  </si>
  <si>
    <t>C:\Users\Emilia Leyes Porello\OneDrive - PennO365\Penn Research\Enhancer-Promoter Spacers\Fly imaging\snaSE-7.6-evePr x 2color x yw - M3\Images and data for all replicates\MAX_snase_7.6_evepr_M3_emb03\</t>
  </si>
  <si>
    <t>MAX_snase_7.6_evepr_M3_emb01.tif</t>
  </si>
  <si>
    <t>MAX_snase_7.6_evepr_M3_emb03.tif</t>
  </si>
  <si>
    <t>MAX_snase_7.6_evepr_M3_emb04.tif</t>
  </si>
  <si>
    <t>C:\Users\Emilia Leyes Porello\OneDrive - PennO365\Penn Research\Enhancer-Promoter Spacers\Fly imaging\snaSE-7.6-evePr x 2color x yw - M3\Images and data for all replicates\MAX_snase_7.6_evepr_M3_emb04\</t>
  </si>
  <si>
    <t>8.8kb-UP (M2-original)</t>
  </si>
  <si>
    <t>8.8kb-UP (M4 - new)</t>
  </si>
  <si>
    <t>7.6kb-UP-emb01 (M3)</t>
  </si>
  <si>
    <t>7.6kb-UP-emb03 (M3)</t>
  </si>
  <si>
    <t>7.6kb-UP-emb04 (M3)</t>
  </si>
  <si>
    <t>bb0</t>
  </si>
  <si>
    <t>Emilia Desktop</t>
  </si>
  <si>
    <t>1.3kb-UP (M3)</t>
  </si>
  <si>
    <t>6.3kb-UP (M2)</t>
  </si>
  <si>
    <t>7.7kb-DOWN-LacZ (M3)</t>
  </si>
  <si>
    <t>10kb-DOWN-LacZ (M2)</t>
  </si>
  <si>
    <t>NoEnh (M5)</t>
  </si>
  <si>
    <t>7.6kb-UP-t.Yel (M2)</t>
  </si>
  <si>
    <t>7.6kb-UP-t.Yel-E1 (M3)</t>
  </si>
  <si>
    <t>7.6kb-UP-t.Yel-E2 (M4)</t>
  </si>
  <si>
    <t>7.7kb-DOWN-t.Yel (M2)</t>
  </si>
  <si>
    <t>7.7kb-DOWN-t.Yel-E1 (M5)</t>
  </si>
  <si>
    <t>7.7kb-DOWN-t.Yel-E2 (M1)</t>
  </si>
  <si>
    <t>10kb-DOWN-t.Yel (M1)</t>
  </si>
  <si>
    <t>Google Drive</t>
  </si>
  <si>
    <t>0kb-UP (M3)</t>
  </si>
  <si>
    <t>Large (7TB) Ext Drive</t>
  </si>
  <si>
    <t>can delete all czi from desktop</t>
  </si>
  <si>
    <t>M138</t>
  </si>
  <si>
    <t>M139</t>
  </si>
  <si>
    <t>M138_enhDOWN_fw_emb01</t>
  </si>
  <si>
    <t>M138_enhDOWN_fw_emb02</t>
  </si>
  <si>
    <t>M138_enhDOWN_fw_emb03</t>
  </si>
  <si>
    <t>C:\Users\Emilia Leyes Porello\OneDrive - PennO365\Penn Research\Enhancer-Promoter Spacers\Fly imaging\AA_M138 x 2color\Images and data for all replicates\MAX_M138x2color_emb01\</t>
  </si>
  <si>
    <t>MAX_M138x2color_emb01.tif</t>
  </si>
  <si>
    <t>C:\Users\Emilia Leyes Porello\OneDrive - PennO365\Penn Research\Enhancer-Promoter Spacers\Fly imaging\AA_M138 x 2color\Images and data for all replicates\MAX_M138x2color_emb02\</t>
  </si>
  <si>
    <t>C:\Users\Emilia Leyes Porello\OneDrive - PennO365\Penn Research\Enhancer-Promoter Spacers\Fly imaging\AA_M138 x 2color\Images and data for all replicates\MAX_M138x2color_emb03\</t>
  </si>
  <si>
    <t>MAX_M138x2color_emb02.tif</t>
  </si>
  <si>
    <t>MAX_M138x2color_emb03.tif</t>
  </si>
  <si>
    <t>C:\Users\Emilia Leyes Porello\OneDrive - PennO365\Penn Research\Enhancer-Promoter Spacers\Fly imaging\AA_M139 x 2color\Images and data for all replicates\MAX_M139x2color_emb01\</t>
  </si>
  <si>
    <t>MAX_M139x2color_emb01.tif</t>
  </si>
  <si>
    <t>C:\Users\Emilia Leyes Porello\OneDrive - PennO365\Penn Research\Enhancer-Promoter Spacers\Fly imaging\AA_M139 x 2color\Images and data for all replicates\MAX_M139x2color_emb03\</t>
  </si>
  <si>
    <t>C:\Users\Emilia Leyes Porello\OneDrive - PennO365\Penn Research\Enhancer-Promoter Spacers\Fly imaging\AA_M139 x 2color\Images and data for all replicates\MAX_M139x2color_emb04\</t>
  </si>
  <si>
    <t>MAX_M139x2color_emb03.tif</t>
  </si>
  <si>
    <t>MAX_M139x2color_emb04.tif</t>
  </si>
  <si>
    <t>M139_enhDOWN_rv_emb01</t>
  </si>
  <si>
    <t>M139_enhDOWN_rv_emb03</t>
  </si>
  <si>
    <t>M139_enhDOWN_rv_emb04</t>
  </si>
  <si>
    <t>M140_enhUP_fw_M5_emb01</t>
  </si>
  <si>
    <t>M140_enhUP_fw_M5_emb02</t>
  </si>
  <si>
    <t>M140_enhUP_fw_M5_emb03</t>
  </si>
  <si>
    <t>M140_enhUP_fw_M5_emb04</t>
  </si>
  <si>
    <t>C:\Users\Emilia Leyes Porello\OneDrive - PennO365\Penn Research\Enhancer-Promoter Spacers\Fly imaging\AA_M140 x 2color - M5\Images and data for all replicates\MAX_M140x2color_emb01\</t>
  </si>
  <si>
    <t>MAX_M140x2color_emb01.tif</t>
  </si>
  <si>
    <t>MAX_M140x2color_emb02.tif</t>
  </si>
  <si>
    <t>MAX_M140x2color_emb03.tif</t>
  </si>
  <si>
    <t>MAX_M140x2color_emb04.tif</t>
  </si>
  <si>
    <t>C:\Users\Emilia Leyes Porello\OneDrive - PennO365\Penn Research\Enhancer-Promoter Spacers\Fly imaging\AA_M140 x 2color - M5\Images and data for all replicates\MAX_M140x2color_emb02\</t>
  </si>
  <si>
    <t>C:\Users\Emilia Leyes Porello\OneDrive - PennO365\Penn Research\Enhancer-Promoter Spacers\Fly imaging\AA_M140 x 2color - M5\Images and data for all replicates\MAX_M140x2color_emb03\</t>
  </si>
  <si>
    <t>C:\Users\Emilia Leyes Porello\OneDrive - PennO365\Penn Research\Enhancer-Promoter Spacers\Fly imaging\AA_M140 x 2color - M5\Images and data for all replicates\MAX_M140x2color_emb04\</t>
  </si>
  <si>
    <t>eveE2_evePr_MS2_yellow - control</t>
  </si>
  <si>
    <t>snaSE_snaPr_MS2_yellow - control</t>
  </si>
  <si>
    <t>most deleted from drive</t>
  </si>
  <si>
    <t>0kb-snaSE_evePr_MS2_LacZ - UP</t>
  </si>
  <si>
    <t>1.3kb-snaSE_evePr_MS2_LacZ - UP</t>
  </si>
  <si>
    <t>6.3kb-snaSE_evePr_MS2_LacZ - UP</t>
  </si>
  <si>
    <t>7.6kb-snaSE_evePr_MS2_LacZ - UP</t>
  </si>
  <si>
    <t>8.8kb-snaSE_evePr_MS2_LacZ - UP</t>
  </si>
  <si>
    <t>NoEnh_evePr_MS2_LacZ</t>
  </si>
  <si>
    <t>7.7kb-snaSE_evePr_MS2_LacZ - DOWN</t>
  </si>
  <si>
    <t>10kb-snaSE_evePr_MS2_LacZ - DOWN</t>
  </si>
  <si>
    <t>7.6kb-snaSE_evePr_MS2_t.Yellow - UP</t>
  </si>
  <si>
    <t>7.7kb-snaSE_evePr_MS2_t.Yellow - DOWN</t>
  </si>
  <si>
    <t>10kb-snaSE_evePr_MS2_t.Yellow - DOWN</t>
  </si>
  <si>
    <t xml:space="preserve">eveE2_evePr_MS2_yellow </t>
  </si>
  <si>
    <t>7.6kb-eveE1_evePr_MS2_t.Yellow - UP</t>
  </si>
  <si>
    <t>7.6kb-eveE2_evePr_MS2_t.Yellow - UP</t>
  </si>
  <si>
    <t>7.7kb-eveE1_evePr_MS2_t.Yellow - DOWN</t>
  </si>
  <si>
    <t>7.7kb-eveE2_evePr_MS2_t.Yellow - DOWN</t>
  </si>
  <si>
    <t>0kb-snaSE_evePr_MS2_snail - UP</t>
  </si>
  <si>
    <t>1.3kb-snaSE_evePr_MS2_snail - UP</t>
  </si>
  <si>
    <t>6.3kb-snaSE_evePr_MS2_snail - UP</t>
  </si>
  <si>
    <t>7.6kb-snaSE_evePr_MS2_snail - UP</t>
  </si>
  <si>
    <t>7.7kb-snaSE_evePr_MS2_snail - DOWN</t>
  </si>
  <si>
    <t>8.8kb-snaSE_evePr_MS2_snail - UP</t>
  </si>
  <si>
    <t>10kb-snaSE_evePr_MS2_snail - DOWN</t>
  </si>
  <si>
    <t>NoEnh_evePr_MS2_snail</t>
  </si>
  <si>
    <t>M140 - M5 - 1st</t>
  </si>
  <si>
    <t>M140 - M5 - 2nd</t>
  </si>
  <si>
    <t>Original data - 2 before, 2 after red laser maintenance</t>
  </si>
  <si>
    <t>M140_UP_fw_M5_new_emb01</t>
  </si>
  <si>
    <t>M140_UP_fw_M5_new_emb02</t>
  </si>
  <si>
    <t>M140_UP_fw_M5_new_emb03</t>
  </si>
  <si>
    <t>C:\Users\Emilia Leyes Porello\OneDrive - PennO365\Penn Research\Enhancer-Promoter Spacers\Fly imaging\AA_M140 x 2color - M5_2nd\Images and data for all replicates\MAX_M140x2color_emb01\</t>
  </si>
  <si>
    <t>C:\Users\Emilia Leyes Porello\OneDrive - PennO365\Penn Research\Enhancer-Promoter Spacers\Fly imaging\AA_M140 x 2color - M5_2nd\Images and data for all replicates\MAX_M140x2color_emb02\</t>
  </si>
  <si>
    <t>C:\Users\Emilia Leyes Porello\OneDrive - PennO365\Penn Research\Enhancer-Promoter Spacers\Fly imaging\AA_M140 x 2color - M5_2nd\Images and data for all replicates\MAX_M140x2color_emb03\</t>
  </si>
  <si>
    <t>M140_M5 (original)</t>
  </si>
  <si>
    <t>M140_M5 (new)</t>
  </si>
  <si>
    <t>New Detector - 7.7kb - E2 downstream</t>
  </si>
  <si>
    <t>NewDet-7.7kb-DOWN-t.Yel-E2</t>
  </si>
  <si>
    <t>MAX_evePr-7.7-tYel-E2_M1_emb01.tif</t>
  </si>
  <si>
    <t>MAX_evePr-7.7-tYel-E2_M1_emb02.tif</t>
  </si>
  <si>
    <t>MAX_evePr-7.7-tYel-E2_M1_emb03.tif</t>
  </si>
  <si>
    <t>New Detector - 7.6kb - E2 upstream</t>
  </si>
  <si>
    <t>NewDet-7.6kb-UP-t.Yel-E2</t>
  </si>
  <si>
    <t>7.6kb-UP-t.Yel-E2-emb01</t>
  </si>
  <si>
    <t>C:\Users\Emilia Leyes Porello\OneDrive - PennO365\Penn Research\Enhancer-Promoter Spacers\Fly imaging\NewDet-E2_7.6kb_t.Yel x 2color - M1\Images and data for all replicates\MAX_E2_7.6_enhUP_emb01\</t>
  </si>
  <si>
    <t>MAX_E2_7.6_enhUP_emb01.tif</t>
  </si>
  <si>
    <t>MAX_E2_7.6_enhUP_emb02.tif</t>
  </si>
  <si>
    <t>C:\Users\Emilia Leyes Porello\OneDrive - PennO365\Penn Research\Enhancer-Promoter Spacers\Fly imaging\NewDet-E2_7.6kb_t.Yel x 2color - M1\Images and data for all replicates\MAX_E2_7.6_enhUP_emb02\</t>
  </si>
  <si>
    <t>C:\Users\Emilia Leyes Porello\OneDrive - PennO365\Penn Research\Enhancer-Promoter Spacers\Fly imaging\NewDet_evePr-7.7-tYel-E2 x2color - M1\Images and data for all replicates\MAX_evePr-7.7-tYel-E2_M1_emb01\</t>
  </si>
  <si>
    <t>C:\Users\Emilia Leyes Porello\OneDrive - PennO365\Penn Research\Enhancer-Promoter Spacers\Fly imaging\NewDet_evePr-7.7-tYel-E2 x2color - M1\Images and data for all replicates\MAX_evePr-7.7-tYel-E2_M1_emb02\</t>
  </si>
  <si>
    <t>C:\Users\Emilia Leyes Porello\OneDrive - PennO365\Penn Research\Enhancer-Promoter Spacers\Fly imaging\NewDet_evePr-7.7-tYel-E2 x2color - M1\Images and data for all replicates\MAX_evePr-7.7-tYel-E2_M1_emb03\</t>
  </si>
  <si>
    <t>MAX_E2_7.6_enhUP_emb03.tif</t>
  </si>
  <si>
    <t>C:\Users\Emilia Leyes Porello\OneDrive - PennO365\Penn Research\Enhancer-Promoter Spacers\Fly imaging\NewDet-E2_7.6kb_t.Yel x 2color - M1\Images and data for all replicates\MAX_E2_7.6_enhUP_emb03\</t>
  </si>
  <si>
    <t>New Detector - 7.6kb - E1 upstream</t>
  </si>
  <si>
    <t>New Detector - 7.7kb - E1 downstream</t>
  </si>
  <si>
    <t>NewDet-7.7kb-DOWN-t.Yel-E1</t>
  </si>
  <si>
    <t>NewDet-7.6kb-UP-t.Yel-E1</t>
  </si>
  <si>
    <t>7.7kb-DOWN-t.Yel-E1-emb03</t>
  </si>
  <si>
    <t>7.6kb-UP-t.Yel-E1-emb01</t>
  </si>
  <si>
    <t>C:\Users\Emilia Leyes Porello\OneDrive - PennO365\Penn Research\Enhancer-Promoter Spacers\Fly imaging\NewDet_evePr-7.7-tYel-E1 x 2color - M1\Images and data for all replicates\MAX_E1-7.7-enhDOWN_emb01\</t>
  </si>
  <si>
    <t>C:\Users\Emilia Leyes Porello\OneDrive - PennO365\Penn Research\Enhancer-Promoter Spacers\Fly imaging\NewDet_evePr-7.7-tYel-E1 x 2color - M1\Images and data for all replicates\MAX_E1-7.7-enhDOWN_emb02\</t>
  </si>
  <si>
    <t>C:\Users\Emilia Leyes Porello\OneDrive - PennO365\Penn Research\Enhancer-Promoter Spacers\Fly imaging\NewDet_evePr-7.7-tYel-E1 x 2color - M1\Images and data for all replicates\MAX_E1-7.7-enhDOWN_emb03\</t>
  </si>
  <si>
    <t>MAX_E1-7.7-enhDOWN_emb01.tif</t>
  </si>
  <si>
    <t>MAX_E1-7.7-enhDOWN_emb02.tif</t>
  </si>
  <si>
    <t>MAX_E1-7.7-enhDOWN_emb03.tif</t>
  </si>
  <si>
    <t>C:\Users\Emilia Leyes Porello\OneDrive - PennO365\Penn Research\Enhancer-Promoter Spacers\Fly imaging\NewDet_E1-7.6-tYel-evePr x 2color - M2\Images and data for all replicates\MAX_E1-7.6-enhUP_emb01\</t>
  </si>
  <si>
    <t>C:\Users\Emilia Leyes Porello\OneDrive - PennO365\Penn Research\Enhancer-Promoter Spacers\Fly imaging\NewDet_E1-7.6-tYel-evePr x 2color - M2\Images and data for all replicates\MAX_E1-7.6-enhUP_emb02\</t>
  </si>
  <si>
    <t>C:\Users\Emilia Leyes Porello\OneDrive - PennO365\Penn Research\Enhancer-Promoter Spacers\Fly imaging\NewDet_E1-7.6-tYel-evePr x 2color - M2\Images and data for all replicates\MAX_E1-7.6-enhUP_emb03\</t>
  </si>
  <si>
    <t>MAX_E1-7.6-enhUP_emb01.tif</t>
  </si>
  <si>
    <t>MAX_E1-7.6-enhUP_emb02.tif</t>
  </si>
  <si>
    <t>MAX_E1-7.6-enhUP_emb03.tif</t>
  </si>
  <si>
    <t>NewDet_M140_M5</t>
  </si>
  <si>
    <t>New Detector - M140 - M5</t>
  </si>
  <si>
    <t>C:\Users\Emilia Leyes Porello\OneDrive - PennO365\Penn Research\Enhancer-Promoter Spacers\Fly imaging\AA_newDet_M140 x 2color - M5\Images and data for all replicates\MAX_M140x2color_emb01\</t>
  </si>
  <si>
    <t>C:\Users\Emilia Leyes Porello\OneDrive - PennO365\Penn Research\Enhancer-Promoter Spacers\Fly imaging\AA_newDet_M140 x 2color - M5\Images and data for all replicates\MAX_M140x2color_emb02\</t>
  </si>
  <si>
    <t>C:\Users\Emilia Leyes Porello\OneDrive - PennO365\Penn Research\Enhancer-Promoter Spacers\Fly imaging\AA_newDet_M140 x 2color - M5\Images and data for all replicates\MAX_M140x2color_emb03\</t>
  </si>
  <si>
    <t>7.6kb-UP-t.Yel-E(3_7)-emb01</t>
  </si>
  <si>
    <t>7.6kb-UP-t.Yel-E(3_7)-emb02</t>
  </si>
  <si>
    <t>7.6kb-UP-t.Yel-E(3_7)-emb03</t>
  </si>
  <si>
    <t>7.6kb-UP-t.Yel-E(3_7)-M5</t>
  </si>
  <si>
    <t xml:space="preserve">M190 </t>
  </si>
  <si>
    <t>M190</t>
  </si>
  <si>
    <t>M190_emb01</t>
  </si>
  <si>
    <t>M190_emb02</t>
  </si>
  <si>
    <t>M190_emb03</t>
  </si>
  <si>
    <t>C:\Users\Emilia Leyes Porello\OneDrive - PennO365\Penn Research\Enhancer-Promoter Spacers\Fly imaging\AA_M190 x 2color\Images and data for all replicates\MAX_M190_emb01\</t>
  </si>
  <si>
    <t>MAX_M190_emb01.tif</t>
  </si>
  <si>
    <t>MAX_M190_emb02.tif</t>
  </si>
  <si>
    <t>C:\Users\Emilia Leyes Porello\OneDrive - PennO365\Penn Research\Enhancer-Promoter Spacers\Fly imaging\AA_M190 x 2color\Images and data for all replicates\MAX_M190_emb02\</t>
  </si>
  <si>
    <t>MAX_M190_emb04.tif</t>
  </si>
  <si>
    <t>C:\Users\Emilia Leyes Porello\OneDrive - PennO365\Penn Research\Enhancer-Promoter Spacers\Fly imaging\AA_M190 x 2color\Images and data for all replicates\MAX_M190_emb04\</t>
  </si>
  <si>
    <t>MAX_E3-7_7.6-evePr_emb01.tif</t>
  </si>
  <si>
    <t>MAX_E3-7_7.6-evePr_emb02.tif</t>
  </si>
  <si>
    <t>MAX_E3-7_7.6-evePr_emb03.tif</t>
  </si>
  <si>
    <t>C:\Users\Emilia Leyes Porello\OneDrive - PennO365\Penn Research\Enhancer-Promoter Spacers\Fly imaging\NewDet_E(3+7)-7.6-t.Yel-evePr x 2color - M5\Images and data for all replicates\MAX_E3-7_7.6-evePr_emb01\</t>
  </si>
  <si>
    <t>C:\Users\Emilia Leyes Porello\OneDrive - PennO365\Penn Research\Enhancer-Promoter Spacers\Fly imaging\NewDet_E(3+7)-7.6-t.Yel-evePr x 2color - M5\Images and data for all replicates\MAX_E3-7_7.6-evePr_emb02\</t>
  </si>
  <si>
    <t>C:\Users\Emilia Leyes Porello\OneDrive - PennO365\Penn Research\Enhancer-Promoter Spacers\Fly imaging\NewDet_E(3+7)-7.6-t.Yel-evePr x 2color - M5\Images and data for all replicates\MAX_E3-7_7.6-evePr_emb03\</t>
  </si>
  <si>
    <t>7.7kb-DOWN-t.Yel-E(3_7)-M1</t>
  </si>
  <si>
    <t>7.7kb-DOWN-t.yel-E(3_7)-emb01</t>
  </si>
  <si>
    <t>C:\Users\Emilia Leyes Porello\OneDrive - PennO365\Penn Research\Enhancer-Promoter Spacers\Fly imaging\NewDet_evePr-7.7-t.yel-E(3+7) x 2color - M1\Images and data for all replicates\MAX_evePr-7.7-t.Yel_E3-7_emb01\</t>
  </si>
  <si>
    <t>MAX_evePr-7.7-t.Yel_E3-7_emb01.tif</t>
  </si>
  <si>
    <t>7.7kb-DOWN-t.yel-E(3_7)-emb02</t>
  </si>
  <si>
    <t>7.7kb-DOWN-t.yel-E(3_7)-emb03</t>
  </si>
  <si>
    <t>MAX_evePr-7.7-t.Yel_E3-7_emb02.tif</t>
  </si>
  <si>
    <t>MAX_evePr-7.7-t.Yel_E3-7_emb03.tif</t>
  </si>
  <si>
    <t>C:\Users\Emilia Leyes Porello\OneDrive - PennO365\Penn Research\Enhancer-Promoter Spacers\Fly imaging\NewDet_evePr-7.7-t.yel-E(3+7) x 2color - M1\Images and data for all replicates\MAX_evePr-7.7-t.Yel_E3-7_emb02\</t>
  </si>
  <si>
    <t>C:\Users\Emilia Leyes Porello\OneDrive - PennO365\Penn Research\Enhancer-Promoter Spacers\Fly imaging\NewDet_evePr-7.7-t.yel-E(3+7) x 2color - M1\Images and data for all replicates\MAX_evePr-7.7-t.Yel_E3-7_emb03\</t>
  </si>
  <si>
    <t>MS2-LacZ_evePr_MS2-LacZ Negative Control</t>
  </si>
  <si>
    <t>C:\Users\Emilia Leyes Porello\OneDrive - PennO365\Penn Research\Enhancer-Promoter Spacers\Fly imaging\MS2_LacZ_evePr_negControl - M1\Images and data for all replicates\MAX_MS2-LacZ-evePr_negCon_emb01\</t>
  </si>
  <si>
    <t>MAX_MS2-LacZ-evePr_negCon_emb01.tif</t>
  </si>
  <si>
    <t>MS2-LacZ_negCon_emb01</t>
  </si>
  <si>
    <t>MS2-LacZ_negCon_emb02</t>
  </si>
  <si>
    <t>MS2-LacZ_negCon_emb03</t>
  </si>
  <si>
    <t>C:\Users\Emilia Leyes Porello\OneDrive - PennO365\Penn Research\Enhancer-Promoter Spacers\Fly imaging\MS2_LacZ_evePr_negControl - M1\Images and data for all replicates\MAX_MS2-LacZ-evePr_negCon_emb02\</t>
  </si>
  <si>
    <t>C:\Users\Emilia Leyes Porello\OneDrive - PennO365\Penn Research\Enhancer-Promoter Spacers\Fly imaging\MS2_LacZ_evePr_negControl - M1\Images and data for all replicates\MAX_MS2-LacZ-evePr_negCon_emb03\</t>
  </si>
  <si>
    <t>MS2-LacZ_negCon</t>
  </si>
  <si>
    <t>snaSE-7.6-UP-PolyA</t>
  </si>
  <si>
    <t>evePr-7.7-DOWN-PolyA_emb02</t>
  </si>
  <si>
    <t>evePr-7.7-DOWN-PolyA_emb03</t>
  </si>
  <si>
    <t>evePr-7.7-DOWN-PolyA_emb05</t>
  </si>
  <si>
    <t>evePr-7.7-DOWN-PolyA</t>
  </si>
  <si>
    <t>C:\Users\Emilia Leyes Porello\OneDrive - PennO365\Penn Research\Enhancer-Promoter Spacers\Fly imaging\evePr-7.7-DOWN-PolyA x 2color - M1\Images and data for all replicates\MAX_evePr-7.7-DOWN-PolyA_emb02\</t>
  </si>
  <si>
    <t>C:\Users\Emilia Leyes Porello\OneDrive - PennO365\Penn Research\Enhancer-Promoter Spacers\Fly imaging\evePr-7.7-DOWN-PolyA x 2color - M1\Images and data for all replicates\MAX_evePr-7.7-DOWN-PolyA_emb03\</t>
  </si>
  <si>
    <t>C:\Users\Emilia Leyes Porello\OneDrive - PennO365\Penn Research\Enhancer-Promoter Spacers\Fly imaging\evePr-7.7-DOWN-PolyA x 2color - M1\Images and data for all replicates\MAX_evePr-7.7-DOWN-PolyA_emb05\</t>
  </si>
  <si>
    <t>MAX_evePr-7.7-DOWN-PolyA_emb02.tif</t>
  </si>
  <si>
    <t>MAX_evePr-7.7-DOWN-PolyA_emb03.tif</t>
  </si>
  <si>
    <t>MAX_evePr-7.7-DOWN-PolyA_emb05.tif</t>
  </si>
  <si>
    <t>snaSE-7.6-UP-PolyA_emb03</t>
  </si>
  <si>
    <t>snaSE-7.6-UP-PolyA_emb04</t>
  </si>
  <si>
    <t>C:\Users\Emilia Leyes Porello\OneDrive - PennO365\Penn Research\Enhancer-Promoter Spacers\Fly imaging\snaSE-7.6-UP-PolyA x 2color - M1\Images and data for all replicates\MAX_snaSE-7.6-UP-PolyA_emb04\</t>
  </si>
  <si>
    <t>MAX_snaSE-7.6-UP-PolyA_emb03.tif</t>
  </si>
  <si>
    <t>MAX_snaSE-7.6-UP-PolyA_emb04.tif</t>
  </si>
  <si>
    <t>C:\Users\Emilia Leyes Porello\OneDrive - PennO365\Penn Research\Enhancer-Promoter Spacers\Fly imaging\snaSE-7.6-UP-PolyA x 2color - M1\Images and data for all replicates\MAX_snaSE-7.6-UP-PolyA_emb03\</t>
  </si>
  <si>
    <t>MAX_snaSE-7.6-UP-PolyA_emb05.tif</t>
  </si>
  <si>
    <t>C:\Users\Emilia Leyes Porello\OneDrive - PennO365\Penn Research\Enhancer-Promoter Spacers\Fly imaging\snaSE-7.6-UP-PolyA x 2color - M1\Images and data for all replicates\MAX_snaSE-7.6-UP-PolyA_emb05\</t>
  </si>
  <si>
    <t>snaSE-7.6-UP-PolyA_emb05</t>
  </si>
  <si>
    <t>/Users/bomyilim/Library/CloudStorage/GoogleDrive-bomyilim@seas.upenn.edu/Shared drives/Lim_Lab/Emilia/E-P Spacers Paper/Nature Comm Submission/Final Submission!!/Source Data (NatComms)/10kb-enhDOWN_t.yel_snaSE/emb02/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</si>
</sst>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sz val="11"/>
      <color rgb="FF00B05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55">
    <xf numFmtId="0" fontId="0" fillId="0" borderId="0" xfId="0"/>
    <xf numFmtId="0" fontId="0" fillId="0" borderId="7" xfId="0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0" fillId="0" borderId="4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quotePrefix="1" applyAlignment="1">
      <alignment horizontal="left"/>
    </xf>
    <xf numFmtId="0" fontId="0" fillId="0" borderId="0" xfId="0" applyAlignment="1">
      <alignment horizontal="left"/>
    </xf>
    <xf numFmtId="0" fontId="1" fillId="0" borderId="0" xfId="0" applyFont="1" applyAlignment="1">
      <alignment horizontal="center" wrapText="1"/>
    </xf>
    <xf numFmtId="0" fontId="0" fillId="0" borderId="0" xfId="0" applyAlignment="1">
      <alignment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5" fillId="4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5" fillId="0" borderId="0" xfId="0" applyFont="1" applyAlignment="1">
      <alignment vertical="center"/>
    </xf>
    <xf numFmtId="0" fontId="6" fillId="4" borderId="0" xfId="0" applyFont="1" applyFill="1" applyAlignment="1">
      <alignment horizontal="center" vertical="center" wrapText="1"/>
    </xf>
    <xf numFmtId="0" fontId="7" fillId="0" borderId="0" xfId="1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/>
    </xf>
    <xf numFmtId="0" fontId="3" fillId="0" borderId="0" xfId="0" applyFont="1"/>
    <xf numFmtId="0" fontId="0" fillId="0" borderId="0" xfId="0" applyFill="1" applyBorder="1" applyAlignment="1">
      <alignment horizontal="center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wrapText="1"/>
    </xf>
    <xf numFmtId="0" fontId="0" fillId="0" borderId="0" xfId="0" applyFill="1" applyBorder="1"/>
    <xf numFmtId="0" fontId="0" fillId="0" borderId="0" xfId="0" applyFill="1" applyBorder="1" applyAlignment="1">
      <alignment horizontal="left"/>
    </xf>
    <xf numFmtId="0" fontId="5" fillId="0" borderId="0" xfId="0" applyFont="1" applyFill="1" applyBorder="1" applyAlignment="1">
      <alignment horizontal="center" wrapText="1"/>
    </xf>
    <xf numFmtId="0" fontId="0" fillId="0" borderId="0" xfId="0" applyFill="1" applyBorder="1" applyAlignment="1">
      <alignment horizont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Fill="1" applyBorder="1" applyAlignment="1">
      <alignment horizontal="center"/>
    </xf>
    <xf numFmtId="0" fontId="5" fillId="0" borderId="0" xfId="0" applyFont="1" applyFill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/Users/bomyilim/Library/CloudStorage/GoogleDrive-bomyilim@seas.upenn.edu/Shared%20drives/Lim_Lab/Emilia/E-P%20Spacers%20Paper/Nature%20Comm%20Submission/Final%20Submission!!/Source%20Data%20(NatComms)/10kb-enhDOWN_t.yel_snaSE/emb02/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8CBB57-DF82-4118-B170-E7BF22EF5382}">
  <dimension ref="A1:J142"/>
  <sheetViews>
    <sheetView zoomScale="55" zoomScaleNormal="55" workbookViewId="0">
      <selection activeCell="F109" sqref="F109"/>
    </sheetView>
  </sheetViews>
  <sheetFormatPr baseColWidth="10" defaultColWidth="8.83203125" defaultRowHeight="15" x14ac:dyDescent="0.2"/>
  <cols>
    <col min="1" max="1" width="9.1640625" style="4"/>
    <col min="3" max="3" width="16.1640625" style="19" customWidth="1"/>
    <col min="5" max="5" width="31.5" customWidth="1"/>
    <col min="6" max="6" width="224.5" customWidth="1"/>
    <col min="7" max="7" width="45.6640625" customWidth="1"/>
    <col min="8" max="8" width="17.6640625" style="17" customWidth="1"/>
    <col min="9" max="9" width="17.5" customWidth="1"/>
    <col min="10" max="10" width="48.1640625" customWidth="1"/>
  </cols>
  <sheetData>
    <row r="1" spans="1:10" s="15" customFormat="1" ht="33" customHeight="1" x14ac:dyDescent="0.2">
      <c r="A1" s="18" t="s">
        <v>125</v>
      </c>
      <c r="B1" s="18" t="s">
        <v>187</v>
      </c>
      <c r="C1" s="18" t="s">
        <v>118</v>
      </c>
      <c r="D1" s="18" t="s">
        <v>126</v>
      </c>
      <c r="E1" s="15" t="s">
        <v>66</v>
      </c>
      <c r="F1" s="15" t="s">
        <v>25</v>
      </c>
      <c r="G1" s="15" t="s">
        <v>26</v>
      </c>
      <c r="H1" s="15" t="s">
        <v>27</v>
      </c>
      <c r="I1" s="18" t="s">
        <v>76</v>
      </c>
      <c r="J1" s="15" t="s">
        <v>54</v>
      </c>
    </row>
    <row r="2" spans="1:10" s="17" customFormat="1" x14ac:dyDescent="0.2">
      <c r="A2" s="4">
        <v>1</v>
      </c>
      <c r="B2" s="32">
        <v>1</v>
      </c>
      <c r="C2" s="33" t="s">
        <v>124</v>
      </c>
      <c r="D2" s="32">
        <v>0</v>
      </c>
      <c r="E2" s="17" t="s">
        <v>80</v>
      </c>
      <c r="F2" s="17" t="s">
        <v>74</v>
      </c>
      <c r="G2" s="17" t="s">
        <v>73</v>
      </c>
      <c r="H2" s="17">
        <v>156</v>
      </c>
      <c r="I2" s="17">
        <v>2</v>
      </c>
    </row>
    <row r="3" spans="1:10" s="17" customFormat="1" x14ac:dyDescent="0.2">
      <c r="A3" s="4">
        <v>2</v>
      </c>
      <c r="B3" s="32"/>
      <c r="C3" s="33"/>
      <c r="D3" s="32"/>
      <c r="E3" s="17" t="s">
        <v>81</v>
      </c>
      <c r="F3" s="17" t="s">
        <v>75</v>
      </c>
      <c r="G3" s="17" t="s">
        <v>78</v>
      </c>
      <c r="H3" s="17">
        <v>193</v>
      </c>
      <c r="I3" s="17">
        <v>2</v>
      </c>
    </row>
    <row r="4" spans="1:10" s="17" customFormat="1" x14ac:dyDescent="0.2">
      <c r="A4" s="4">
        <v>3</v>
      </c>
      <c r="B4" s="32"/>
      <c r="C4" s="33"/>
      <c r="D4" s="32"/>
      <c r="E4" s="17" t="s">
        <v>82</v>
      </c>
      <c r="F4" s="17" t="s">
        <v>77</v>
      </c>
      <c r="G4" s="17" t="s">
        <v>79</v>
      </c>
      <c r="H4" s="17">
        <v>340</v>
      </c>
      <c r="I4" s="17">
        <v>1</v>
      </c>
    </row>
    <row r="5" spans="1:10" s="17" customFormat="1" x14ac:dyDescent="0.2">
      <c r="A5" s="4">
        <v>4</v>
      </c>
      <c r="B5" s="32">
        <v>2</v>
      </c>
      <c r="C5" s="33" t="s">
        <v>119</v>
      </c>
      <c r="D5" s="32">
        <v>1.3</v>
      </c>
      <c r="E5" s="17" t="s">
        <v>83</v>
      </c>
      <c r="F5" s="17" t="s">
        <v>46</v>
      </c>
      <c r="G5" s="17" t="s">
        <v>47</v>
      </c>
      <c r="H5" s="17">
        <v>237</v>
      </c>
      <c r="I5" s="17">
        <v>2</v>
      </c>
    </row>
    <row r="6" spans="1:10" s="17" customFormat="1" x14ac:dyDescent="0.2">
      <c r="A6" s="4">
        <v>5</v>
      </c>
      <c r="B6" s="32"/>
      <c r="C6" s="33"/>
      <c r="D6" s="32"/>
      <c r="E6" s="17" t="s">
        <v>84</v>
      </c>
      <c r="F6" s="17" t="s">
        <v>48</v>
      </c>
      <c r="G6" s="17" t="s">
        <v>49</v>
      </c>
      <c r="H6" s="17">
        <v>274</v>
      </c>
      <c r="I6" s="17">
        <v>3</v>
      </c>
    </row>
    <row r="7" spans="1:10" s="17" customFormat="1" x14ac:dyDescent="0.2">
      <c r="A7" s="4">
        <v>6</v>
      </c>
      <c r="B7" s="32"/>
      <c r="C7" s="33"/>
      <c r="D7" s="32"/>
      <c r="E7" s="17" t="s">
        <v>85</v>
      </c>
      <c r="F7" s="17" t="s">
        <v>50</v>
      </c>
      <c r="G7" s="17" t="s">
        <v>51</v>
      </c>
      <c r="H7" s="17">
        <v>247</v>
      </c>
      <c r="I7" s="17">
        <v>3</v>
      </c>
    </row>
    <row r="8" spans="1:10" s="17" customFormat="1" x14ac:dyDescent="0.2">
      <c r="A8" s="4">
        <v>7</v>
      </c>
      <c r="B8" s="32">
        <v>3</v>
      </c>
      <c r="C8" s="33" t="s">
        <v>120</v>
      </c>
      <c r="D8" s="32">
        <v>6.3</v>
      </c>
      <c r="E8" s="17" t="s">
        <v>86</v>
      </c>
      <c r="F8" s="17" t="s">
        <v>40</v>
      </c>
      <c r="G8" s="17" t="s">
        <v>41</v>
      </c>
      <c r="H8" s="17">
        <v>201</v>
      </c>
      <c r="I8" s="17">
        <v>3</v>
      </c>
    </row>
    <row r="9" spans="1:10" s="17" customFormat="1" x14ac:dyDescent="0.2">
      <c r="A9" s="4">
        <v>8</v>
      </c>
      <c r="B9" s="32"/>
      <c r="C9" s="33"/>
      <c r="D9" s="32"/>
      <c r="E9" s="17" t="s">
        <v>87</v>
      </c>
      <c r="F9" s="17" t="s">
        <v>44</v>
      </c>
      <c r="G9" s="17" t="s">
        <v>42</v>
      </c>
      <c r="H9" s="17">
        <v>250</v>
      </c>
      <c r="I9" s="17">
        <v>3</v>
      </c>
    </row>
    <row r="10" spans="1:10" s="17" customFormat="1" x14ac:dyDescent="0.2">
      <c r="A10" s="4">
        <v>9</v>
      </c>
      <c r="B10" s="32"/>
      <c r="C10" s="33"/>
      <c r="D10" s="32"/>
      <c r="E10" s="17" t="s">
        <v>88</v>
      </c>
      <c r="F10" s="17" t="s">
        <v>45</v>
      </c>
      <c r="G10" s="17" t="s">
        <v>43</v>
      </c>
      <c r="H10" s="17">
        <v>334</v>
      </c>
      <c r="I10" s="17">
        <v>3</v>
      </c>
    </row>
    <row r="11" spans="1:10" x14ac:dyDescent="0.2">
      <c r="A11" s="4">
        <v>10</v>
      </c>
      <c r="B11" s="32">
        <v>4</v>
      </c>
      <c r="C11" s="33" t="s">
        <v>189</v>
      </c>
      <c r="D11" s="32">
        <v>7.6</v>
      </c>
      <c r="E11" s="17" t="s">
        <v>199</v>
      </c>
      <c r="F11" t="s">
        <v>191</v>
      </c>
      <c r="G11" t="s">
        <v>193</v>
      </c>
      <c r="H11" s="17">
        <v>218</v>
      </c>
      <c r="I11" s="17">
        <v>3</v>
      </c>
    </row>
    <row r="12" spans="1:10" x14ac:dyDescent="0.2">
      <c r="A12" s="4">
        <v>11</v>
      </c>
      <c r="B12" s="32"/>
      <c r="C12" s="33"/>
      <c r="D12" s="32"/>
      <c r="E12" s="17" t="s">
        <v>200</v>
      </c>
      <c r="F12" t="s">
        <v>192</v>
      </c>
      <c r="G12" t="s">
        <v>194</v>
      </c>
      <c r="H12" s="17">
        <v>110</v>
      </c>
      <c r="I12" s="17">
        <v>2</v>
      </c>
    </row>
    <row r="13" spans="1:10" x14ac:dyDescent="0.2">
      <c r="A13" s="4">
        <v>12</v>
      </c>
      <c r="B13" s="32"/>
      <c r="C13" s="33"/>
      <c r="D13" s="32"/>
      <c r="E13" s="17" t="s">
        <v>201</v>
      </c>
      <c r="F13" t="s">
        <v>196</v>
      </c>
      <c r="G13" t="s">
        <v>195</v>
      </c>
      <c r="H13" s="17">
        <v>10</v>
      </c>
      <c r="I13" s="17">
        <v>2</v>
      </c>
    </row>
    <row r="14" spans="1:10" s="17" customFormat="1" x14ac:dyDescent="0.2">
      <c r="A14" s="4">
        <v>13</v>
      </c>
      <c r="B14" s="32">
        <v>5</v>
      </c>
      <c r="C14" s="33" t="s">
        <v>152</v>
      </c>
      <c r="D14" s="32">
        <v>7.7</v>
      </c>
      <c r="E14" s="17" t="s">
        <v>92</v>
      </c>
      <c r="F14" s="17" t="s">
        <v>34</v>
      </c>
      <c r="G14" s="17" t="s">
        <v>35</v>
      </c>
      <c r="H14" s="17">
        <v>281</v>
      </c>
      <c r="I14" s="17">
        <v>3</v>
      </c>
    </row>
    <row r="15" spans="1:10" s="17" customFormat="1" x14ac:dyDescent="0.2">
      <c r="A15" s="4">
        <v>14</v>
      </c>
      <c r="B15" s="32"/>
      <c r="C15" s="33"/>
      <c r="D15" s="32"/>
      <c r="E15" s="17" t="s">
        <v>93</v>
      </c>
      <c r="F15" s="17" t="s">
        <v>38</v>
      </c>
      <c r="G15" s="17" t="s">
        <v>36</v>
      </c>
      <c r="H15" s="17">
        <v>311</v>
      </c>
      <c r="I15" s="17">
        <v>3</v>
      </c>
    </row>
    <row r="16" spans="1:10" s="17" customFormat="1" x14ac:dyDescent="0.2">
      <c r="A16" s="4">
        <v>15</v>
      </c>
      <c r="B16" s="32"/>
      <c r="C16" s="33"/>
      <c r="D16" s="32"/>
      <c r="E16" s="17" t="s">
        <v>94</v>
      </c>
      <c r="F16" s="17" t="s">
        <v>39</v>
      </c>
      <c r="G16" s="17" t="s">
        <v>37</v>
      </c>
      <c r="H16" s="17">
        <v>258</v>
      </c>
      <c r="I16" s="17">
        <v>3</v>
      </c>
    </row>
    <row r="17" spans="1:10" s="17" customFormat="1" ht="15" customHeight="1" x14ac:dyDescent="0.2">
      <c r="A17" s="4">
        <v>16</v>
      </c>
      <c r="B17" s="32">
        <v>6</v>
      </c>
      <c r="C17" s="33" t="s">
        <v>198</v>
      </c>
      <c r="D17" s="32">
        <v>8.8000000000000007</v>
      </c>
      <c r="E17" s="17" t="s">
        <v>89</v>
      </c>
      <c r="F17" s="17" t="s">
        <v>52</v>
      </c>
      <c r="G17" s="17" t="s">
        <v>53</v>
      </c>
      <c r="H17" s="17">
        <v>175</v>
      </c>
      <c r="I17" s="17">
        <v>2</v>
      </c>
      <c r="J17" s="34" t="s">
        <v>55</v>
      </c>
    </row>
    <row r="18" spans="1:10" s="17" customFormat="1" x14ac:dyDescent="0.2">
      <c r="A18" s="4">
        <v>17</v>
      </c>
      <c r="B18" s="32"/>
      <c r="C18" s="33"/>
      <c r="D18" s="32"/>
      <c r="E18" s="17" t="s">
        <v>90</v>
      </c>
      <c r="F18" s="17" t="s">
        <v>56</v>
      </c>
      <c r="G18" s="17" t="s">
        <v>58</v>
      </c>
      <c r="H18" s="17">
        <v>267</v>
      </c>
      <c r="I18" s="17">
        <v>3</v>
      </c>
      <c r="J18" s="35"/>
    </row>
    <row r="19" spans="1:10" s="17" customFormat="1" x14ac:dyDescent="0.2">
      <c r="A19" s="4">
        <v>18</v>
      </c>
      <c r="B19" s="32"/>
      <c r="C19" s="33"/>
      <c r="D19" s="32"/>
      <c r="E19" s="17" t="s">
        <v>91</v>
      </c>
      <c r="F19" s="17" t="s">
        <v>57</v>
      </c>
      <c r="G19" s="17" t="s">
        <v>59</v>
      </c>
      <c r="H19" s="17">
        <v>214</v>
      </c>
      <c r="I19" s="17">
        <v>2</v>
      </c>
      <c r="J19" s="36"/>
    </row>
    <row r="20" spans="1:10" s="17" customFormat="1" x14ac:dyDescent="0.2">
      <c r="A20" s="4">
        <v>19</v>
      </c>
      <c r="B20" s="32">
        <v>7</v>
      </c>
      <c r="C20" s="33" t="s">
        <v>153</v>
      </c>
      <c r="D20" s="32">
        <v>10</v>
      </c>
      <c r="E20" s="17" t="s">
        <v>95</v>
      </c>
      <c r="F20" s="17" t="s">
        <v>19</v>
      </c>
      <c r="G20" s="17" t="s">
        <v>20</v>
      </c>
      <c r="H20" s="17">
        <v>355</v>
      </c>
      <c r="I20" s="17">
        <v>1</v>
      </c>
    </row>
    <row r="21" spans="1:10" s="17" customFormat="1" x14ac:dyDescent="0.2">
      <c r="A21" s="4">
        <v>20</v>
      </c>
      <c r="B21" s="32"/>
      <c r="C21" s="33"/>
      <c r="D21" s="32"/>
      <c r="E21" s="17" t="s">
        <v>96</v>
      </c>
      <c r="F21" s="17" t="s">
        <v>21</v>
      </c>
      <c r="G21" s="17" t="s">
        <v>22</v>
      </c>
      <c r="H21" s="17">
        <v>215</v>
      </c>
      <c r="I21" s="17">
        <v>2</v>
      </c>
    </row>
    <row r="22" spans="1:10" s="17" customFormat="1" x14ac:dyDescent="0.2">
      <c r="A22" s="4">
        <v>21</v>
      </c>
      <c r="B22" s="32"/>
      <c r="C22" s="33"/>
      <c r="D22" s="32"/>
      <c r="E22" s="17" t="s">
        <v>97</v>
      </c>
      <c r="F22" s="17" t="s">
        <v>23</v>
      </c>
      <c r="G22" s="17" t="s">
        <v>24</v>
      </c>
      <c r="H22" s="17">
        <v>284</v>
      </c>
      <c r="I22" s="17">
        <v>3</v>
      </c>
    </row>
    <row r="23" spans="1:10" s="17" customFormat="1" x14ac:dyDescent="0.2">
      <c r="A23" s="4">
        <v>22</v>
      </c>
      <c r="B23" s="32">
        <v>8</v>
      </c>
      <c r="C23" s="33" t="s">
        <v>121</v>
      </c>
      <c r="D23" s="32">
        <v>15</v>
      </c>
      <c r="E23" s="17" t="s">
        <v>70</v>
      </c>
      <c r="F23" s="16" t="s">
        <v>60</v>
      </c>
      <c r="G23" s="17" t="s">
        <v>61</v>
      </c>
      <c r="H23" s="17">
        <v>310</v>
      </c>
      <c r="I23" s="17">
        <v>3</v>
      </c>
    </row>
    <row r="24" spans="1:10" s="17" customFormat="1" x14ac:dyDescent="0.2">
      <c r="A24" s="4">
        <v>23</v>
      </c>
      <c r="B24" s="32"/>
      <c r="C24" s="33"/>
      <c r="D24" s="32"/>
      <c r="E24" s="17" t="s">
        <v>71</v>
      </c>
      <c r="F24" s="16" t="s">
        <v>62</v>
      </c>
      <c r="G24" s="17" t="s">
        <v>64</v>
      </c>
      <c r="H24" s="17">
        <v>275</v>
      </c>
      <c r="I24" s="17">
        <v>3</v>
      </c>
    </row>
    <row r="25" spans="1:10" s="17" customFormat="1" x14ac:dyDescent="0.2">
      <c r="A25" s="4">
        <v>24</v>
      </c>
      <c r="B25" s="32"/>
      <c r="C25" s="33"/>
      <c r="D25" s="32"/>
      <c r="E25" s="17" t="s">
        <v>72</v>
      </c>
      <c r="F25" s="16" t="s">
        <v>63</v>
      </c>
      <c r="G25" s="17" t="s">
        <v>65</v>
      </c>
      <c r="H25" s="17">
        <v>258</v>
      </c>
      <c r="I25" s="17">
        <v>3</v>
      </c>
    </row>
    <row r="26" spans="1:10" x14ac:dyDescent="0.2">
      <c r="A26" s="4">
        <v>25</v>
      </c>
      <c r="B26" s="32">
        <v>9</v>
      </c>
      <c r="C26" s="33" t="s">
        <v>155</v>
      </c>
      <c r="D26" s="32">
        <v>7.6</v>
      </c>
      <c r="E26" s="17" t="s">
        <v>157</v>
      </c>
      <c r="F26" t="s">
        <v>169</v>
      </c>
      <c r="G26" t="s">
        <v>159</v>
      </c>
      <c r="H26" s="17">
        <v>290</v>
      </c>
      <c r="I26" s="17">
        <v>3</v>
      </c>
    </row>
    <row r="27" spans="1:10" x14ac:dyDescent="0.2">
      <c r="A27" s="4">
        <v>26</v>
      </c>
      <c r="B27" s="32"/>
      <c r="C27" s="33"/>
      <c r="D27" s="32"/>
      <c r="E27" s="17" t="s">
        <v>156</v>
      </c>
      <c r="F27" t="s">
        <v>170</v>
      </c>
      <c r="G27" t="s">
        <v>160</v>
      </c>
      <c r="H27" s="17">
        <v>211</v>
      </c>
      <c r="I27" s="17">
        <v>2</v>
      </c>
    </row>
    <row r="28" spans="1:10" x14ac:dyDescent="0.2">
      <c r="A28" s="4">
        <v>27</v>
      </c>
      <c r="B28" s="32"/>
      <c r="C28" s="33"/>
      <c r="D28" s="32"/>
      <c r="E28" s="17" t="s">
        <v>158</v>
      </c>
      <c r="F28" t="s">
        <v>171</v>
      </c>
      <c r="G28" t="s">
        <v>161</v>
      </c>
      <c r="H28" s="17">
        <v>290</v>
      </c>
      <c r="I28" s="17">
        <v>3</v>
      </c>
    </row>
    <row r="29" spans="1:10" x14ac:dyDescent="0.2">
      <c r="A29" s="4">
        <v>28</v>
      </c>
      <c r="B29" s="32">
        <v>10</v>
      </c>
      <c r="C29" s="33" t="s">
        <v>164</v>
      </c>
      <c r="D29" s="32">
        <v>7.6</v>
      </c>
      <c r="E29" s="17" t="s">
        <v>166</v>
      </c>
      <c r="F29" t="s">
        <v>172</v>
      </c>
      <c r="G29" t="s">
        <v>175</v>
      </c>
      <c r="H29" s="17">
        <v>250</v>
      </c>
      <c r="I29" s="17">
        <v>3</v>
      </c>
      <c r="J29" s="34" t="s">
        <v>136</v>
      </c>
    </row>
    <row r="30" spans="1:10" x14ac:dyDescent="0.2">
      <c r="A30" s="4">
        <v>29</v>
      </c>
      <c r="B30" s="32"/>
      <c r="C30" s="33"/>
      <c r="D30" s="32"/>
      <c r="E30" s="17" t="s">
        <v>167</v>
      </c>
      <c r="F30" t="s">
        <v>174</v>
      </c>
      <c r="G30" t="s">
        <v>176</v>
      </c>
      <c r="H30" s="17">
        <v>250</v>
      </c>
      <c r="I30" s="17">
        <v>3</v>
      </c>
      <c r="J30" s="35"/>
    </row>
    <row r="31" spans="1:10" x14ac:dyDescent="0.2">
      <c r="A31" s="4">
        <v>30</v>
      </c>
      <c r="B31" s="32"/>
      <c r="C31" s="33"/>
      <c r="D31" s="32"/>
      <c r="E31" s="17" t="s">
        <v>168</v>
      </c>
      <c r="F31" t="s">
        <v>173</v>
      </c>
      <c r="G31" t="s">
        <v>177</v>
      </c>
      <c r="H31" s="17">
        <v>250</v>
      </c>
      <c r="I31" s="17">
        <v>3</v>
      </c>
      <c r="J31" s="36"/>
    </row>
    <row r="32" spans="1:10" x14ac:dyDescent="0.2">
      <c r="A32" s="4">
        <v>31</v>
      </c>
      <c r="B32" s="32">
        <v>11</v>
      </c>
      <c r="C32" s="33" t="s">
        <v>165</v>
      </c>
      <c r="D32" s="32">
        <v>7.6</v>
      </c>
      <c r="E32" s="17" t="s">
        <v>184</v>
      </c>
      <c r="F32" t="s">
        <v>178</v>
      </c>
      <c r="G32" t="s">
        <v>179</v>
      </c>
      <c r="H32" s="17">
        <v>250</v>
      </c>
      <c r="I32" s="17">
        <v>3</v>
      </c>
      <c r="J32" s="34" t="s">
        <v>136</v>
      </c>
    </row>
    <row r="33" spans="1:10" x14ac:dyDescent="0.2">
      <c r="A33" s="4">
        <v>32</v>
      </c>
      <c r="B33" s="32"/>
      <c r="C33" s="33"/>
      <c r="D33" s="32"/>
      <c r="E33" s="17" t="s">
        <v>185</v>
      </c>
      <c r="F33" t="s">
        <v>180</v>
      </c>
      <c r="G33" t="s">
        <v>182</v>
      </c>
      <c r="H33" s="17">
        <v>250</v>
      </c>
      <c r="I33" s="17">
        <v>3</v>
      </c>
      <c r="J33" s="35"/>
    </row>
    <row r="34" spans="1:10" x14ac:dyDescent="0.2">
      <c r="A34" s="4">
        <v>33</v>
      </c>
      <c r="B34" s="32"/>
      <c r="C34" s="33"/>
      <c r="D34" s="32"/>
      <c r="E34" s="17" t="s">
        <v>186</v>
      </c>
      <c r="F34" t="s">
        <v>181</v>
      </c>
      <c r="G34" t="s">
        <v>183</v>
      </c>
      <c r="H34" s="17">
        <v>250</v>
      </c>
      <c r="I34" s="17">
        <v>3</v>
      </c>
      <c r="J34" s="36"/>
    </row>
    <row r="35" spans="1:10" s="17" customFormat="1" x14ac:dyDescent="0.2">
      <c r="A35" s="4">
        <v>34</v>
      </c>
      <c r="B35" s="32">
        <v>12</v>
      </c>
      <c r="C35" s="33" t="s">
        <v>122</v>
      </c>
      <c r="D35" s="32">
        <v>7.7</v>
      </c>
      <c r="E35" s="17" t="s">
        <v>101</v>
      </c>
      <c r="F35" s="16" t="s">
        <v>107</v>
      </c>
      <c r="G35" s="17" t="s">
        <v>108</v>
      </c>
      <c r="H35" s="17">
        <v>375</v>
      </c>
      <c r="I35" s="17">
        <v>1</v>
      </c>
    </row>
    <row r="36" spans="1:10" x14ac:dyDescent="0.2">
      <c r="A36" s="4">
        <v>35</v>
      </c>
      <c r="B36" s="32"/>
      <c r="C36" s="33"/>
      <c r="D36" s="32"/>
      <c r="E36" s="17" t="s">
        <v>102</v>
      </c>
      <c r="F36" s="16" t="s">
        <v>111</v>
      </c>
      <c r="G36" s="17" t="s">
        <v>109</v>
      </c>
      <c r="H36" s="17">
        <v>266</v>
      </c>
      <c r="I36" s="17">
        <v>3</v>
      </c>
    </row>
    <row r="37" spans="1:10" x14ac:dyDescent="0.2">
      <c r="A37" s="4">
        <v>36</v>
      </c>
      <c r="B37" s="32"/>
      <c r="C37" s="33"/>
      <c r="D37" s="32"/>
      <c r="E37" s="17" t="s">
        <v>103</v>
      </c>
      <c r="F37" s="16" t="s">
        <v>112</v>
      </c>
      <c r="G37" s="17" t="s">
        <v>110</v>
      </c>
      <c r="H37" s="17">
        <v>349</v>
      </c>
      <c r="I37" s="17">
        <v>1</v>
      </c>
    </row>
    <row r="38" spans="1:10" x14ac:dyDescent="0.2">
      <c r="A38" s="4">
        <v>37</v>
      </c>
      <c r="B38" s="32">
        <v>13</v>
      </c>
      <c r="C38" s="33" t="s">
        <v>129</v>
      </c>
      <c r="D38" s="32">
        <v>7.7</v>
      </c>
      <c r="E38" s="17" t="s">
        <v>130</v>
      </c>
      <c r="F38" t="s">
        <v>149</v>
      </c>
      <c r="G38" t="s">
        <v>133</v>
      </c>
      <c r="H38" s="17">
        <v>250</v>
      </c>
      <c r="I38" s="17">
        <v>3</v>
      </c>
      <c r="J38" s="34" t="s">
        <v>136</v>
      </c>
    </row>
    <row r="39" spans="1:10" x14ac:dyDescent="0.2">
      <c r="A39" s="4">
        <v>38</v>
      </c>
      <c r="B39" s="32"/>
      <c r="C39" s="33"/>
      <c r="D39" s="32"/>
      <c r="E39" s="17" t="s">
        <v>131</v>
      </c>
      <c r="F39" t="s">
        <v>150</v>
      </c>
      <c r="G39" t="s">
        <v>134</v>
      </c>
      <c r="H39" s="17">
        <v>250</v>
      </c>
      <c r="I39" s="17">
        <v>3</v>
      </c>
      <c r="J39" s="35"/>
    </row>
    <row r="40" spans="1:10" x14ac:dyDescent="0.2">
      <c r="A40" s="4">
        <v>39</v>
      </c>
      <c r="B40" s="32"/>
      <c r="C40" s="33"/>
      <c r="D40" s="32"/>
      <c r="E40" s="17" t="s">
        <v>132</v>
      </c>
      <c r="F40" t="s">
        <v>151</v>
      </c>
      <c r="G40" t="s">
        <v>135</v>
      </c>
      <c r="H40" s="17">
        <v>250</v>
      </c>
      <c r="I40" s="17">
        <v>3</v>
      </c>
      <c r="J40" s="36"/>
    </row>
    <row r="41" spans="1:10" ht="15" customHeight="1" x14ac:dyDescent="0.2">
      <c r="A41" s="4">
        <v>40</v>
      </c>
      <c r="B41" s="32">
        <v>14</v>
      </c>
      <c r="C41" s="33" t="s">
        <v>138</v>
      </c>
      <c r="D41" s="32">
        <v>7.7</v>
      </c>
      <c r="E41" s="17" t="s">
        <v>140</v>
      </c>
      <c r="F41" t="s">
        <v>143</v>
      </c>
      <c r="G41" t="s">
        <v>146</v>
      </c>
      <c r="H41" s="17">
        <v>250</v>
      </c>
      <c r="I41" s="17">
        <v>3</v>
      </c>
      <c r="J41" s="34" t="s">
        <v>136</v>
      </c>
    </row>
    <row r="42" spans="1:10" s="17" customFormat="1" x14ac:dyDescent="0.2">
      <c r="A42" s="4">
        <v>41</v>
      </c>
      <c r="B42" s="32"/>
      <c r="C42" s="33"/>
      <c r="D42" s="32"/>
      <c r="E42" s="17" t="s">
        <v>141</v>
      </c>
      <c r="F42" t="s">
        <v>144</v>
      </c>
      <c r="G42" t="s">
        <v>147</v>
      </c>
      <c r="H42" s="17">
        <v>250</v>
      </c>
      <c r="I42" s="17">
        <v>3</v>
      </c>
      <c r="J42" s="35"/>
    </row>
    <row r="43" spans="1:10" s="17" customFormat="1" ht="15" customHeight="1" x14ac:dyDescent="0.2">
      <c r="A43" s="4">
        <v>42</v>
      </c>
      <c r="B43" s="32"/>
      <c r="C43" s="33"/>
      <c r="D43" s="32"/>
      <c r="E43" s="17" t="s">
        <v>142</v>
      </c>
      <c r="F43" t="s">
        <v>145</v>
      </c>
      <c r="G43" t="s">
        <v>148</v>
      </c>
      <c r="H43" s="17">
        <v>250</v>
      </c>
      <c r="I43" s="17">
        <v>3</v>
      </c>
      <c r="J43" s="36"/>
    </row>
    <row r="44" spans="1:10" x14ac:dyDescent="0.2">
      <c r="A44" s="4">
        <v>43</v>
      </c>
      <c r="B44" s="32">
        <v>15</v>
      </c>
      <c r="C44" s="33" t="s">
        <v>123</v>
      </c>
      <c r="D44" s="32">
        <v>10</v>
      </c>
      <c r="E44" s="17" t="s">
        <v>105</v>
      </c>
      <c r="F44" t="s">
        <v>113</v>
      </c>
      <c r="G44" t="s">
        <v>114</v>
      </c>
      <c r="H44" s="17">
        <v>252</v>
      </c>
      <c r="I44" s="17">
        <v>3</v>
      </c>
    </row>
    <row r="45" spans="1:10" x14ac:dyDescent="0.2">
      <c r="A45" s="4">
        <v>44</v>
      </c>
      <c r="B45" s="32"/>
      <c r="C45" s="33"/>
      <c r="D45" s="32"/>
      <c r="E45" s="17" t="s">
        <v>104</v>
      </c>
      <c r="F45" s="31" t="s">
        <v>390</v>
      </c>
      <c r="G45" t="s">
        <v>115</v>
      </c>
      <c r="H45" s="17">
        <v>425</v>
      </c>
      <c r="I45" s="17">
        <v>1</v>
      </c>
    </row>
    <row r="46" spans="1:10" x14ac:dyDescent="0.2">
      <c r="A46" s="4">
        <v>45</v>
      </c>
      <c r="B46" s="32"/>
      <c r="C46" s="33"/>
      <c r="D46" s="32"/>
      <c r="E46" s="17" t="s">
        <v>106</v>
      </c>
      <c r="F46" t="s">
        <v>117</v>
      </c>
      <c r="G46" t="s">
        <v>116</v>
      </c>
      <c r="H46" s="17">
        <v>200</v>
      </c>
      <c r="I46" s="17">
        <v>3</v>
      </c>
    </row>
    <row r="47" spans="1:10" x14ac:dyDescent="0.2">
      <c r="A47" s="4">
        <v>46</v>
      </c>
      <c r="B47" s="32">
        <v>16</v>
      </c>
      <c r="C47" s="33" t="s">
        <v>197</v>
      </c>
      <c r="D47" s="32">
        <v>8.8000000000000007</v>
      </c>
      <c r="E47" t="s">
        <v>67</v>
      </c>
      <c r="F47" t="s">
        <v>28</v>
      </c>
      <c r="G47" t="s">
        <v>29</v>
      </c>
      <c r="H47" s="17">
        <v>144</v>
      </c>
      <c r="I47" s="17">
        <v>2</v>
      </c>
    </row>
    <row r="48" spans="1:10" x14ac:dyDescent="0.2">
      <c r="A48" s="4">
        <v>47</v>
      </c>
      <c r="B48" s="32"/>
      <c r="C48" s="33"/>
      <c r="D48" s="32"/>
      <c r="E48" t="s">
        <v>68</v>
      </c>
      <c r="F48" t="s">
        <v>32</v>
      </c>
      <c r="G48" t="s">
        <v>30</v>
      </c>
      <c r="H48" s="17">
        <v>286</v>
      </c>
      <c r="I48" s="17">
        <v>3</v>
      </c>
    </row>
    <row r="49" spans="1:10" x14ac:dyDescent="0.2">
      <c r="A49" s="4">
        <v>48</v>
      </c>
      <c r="B49" s="32"/>
      <c r="C49" s="33"/>
      <c r="D49" s="32"/>
      <c r="E49" t="s">
        <v>69</v>
      </c>
      <c r="F49" t="s">
        <v>33</v>
      </c>
      <c r="G49" t="s">
        <v>31</v>
      </c>
      <c r="H49" s="17">
        <v>225</v>
      </c>
      <c r="I49" s="17">
        <v>2</v>
      </c>
    </row>
    <row r="50" spans="1:10" x14ac:dyDescent="0.2">
      <c r="A50" s="4">
        <v>49</v>
      </c>
      <c r="B50" s="32">
        <v>17</v>
      </c>
      <c r="C50" s="33" t="s">
        <v>220</v>
      </c>
      <c r="D50" s="32">
        <v>6.8</v>
      </c>
      <c r="E50" t="s">
        <v>222</v>
      </c>
      <c r="F50" t="s">
        <v>225</v>
      </c>
      <c r="G50" t="s">
        <v>226</v>
      </c>
      <c r="H50" s="17">
        <v>238</v>
      </c>
      <c r="I50" s="17">
        <v>3</v>
      </c>
    </row>
    <row r="51" spans="1:10" x14ac:dyDescent="0.2">
      <c r="A51" s="4">
        <v>50</v>
      </c>
      <c r="B51" s="32"/>
      <c r="C51" s="33"/>
      <c r="D51" s="32"/>
      <c r="E51" t="s">
        <v>223</v>
      </c>
      <c r="F51" t="s">
        <v>227</v>
      </c>
      <c r="G51" t="s">
        <v>229</v>
      </c>
      <c r="H51" s="17">
        <v>40</v>
      </c>
      <c r="I51" s="17">
        <v>2</v>
      </c>
    </row>
    <row r="52" spans="1:10" x14ac:dyDescent="0.2">
      <c r="A52" s="4">
        <v>51</v>
      </c>
      <c r="B52" s="32"/>
      <c r="C52" s="33"/>
      <c r="D52" s="32"/>
      <c r="E52" t="s">
        <v>224</v>
      </c>
      <c r="F52" t="s">
        <v>228</v>
      </c>
      <c r="G52" t="s">
        <v>230</v>
      </c>
      <c r="H52" s="17">
        <v>245</v>
      </c>
      <c r="I52" s="17">
        <v>3</v>
      </c>
    </row>
    <row r="53" spans="1:10" x14ac:dyDescent="0.2">
      <c r="A53" s="4">
        <v>52</v>
      </c>
      <c r="B53" s="32">
        <v>18</v>
      </c>
      <c r="C53" s="33" t="s">
        <v>221</v>
      </c>
      <c r="D53" s="32">
        <v>6.8</v>
      </c>
      <c r="E53" t="s">
        <v>237</v>
      </c>
      <c r="F53" t="s">
        <v>231</v>
      </c>
      <c r="G53" t="s">
        <v>232</v>
      </c>
      <c r="H53" s="17">
        <v>380</v>
      </c>
      <c r="I53" s="17">
        <v>1</v>
      </c>
    </row>
    <row r="54" spans="1:10" x14ac:dyDescent="0.2">
      <c r="A54" s="4">
        <v>53</v>
      </c>
      <c r="B54" s="32"/>
      <c r="C54" s="33"/>
      <c r="D54" s="32"/>
      <c r="E54" t="s">
        <v>238</v>
      </c>
      <c r="F54" t="s">
        <v>233</v>
      </c>
      <c r="G54" t="s">
        <v>235</v>
      </c>
      <c r="H54" s="17">
        <v>270</v>
      </c>
      <c r="I54" s="17">
        <v>3</v>
      </c>
    </row>
    <row r="55" spans="1:10" x14ac:dyDescent="0.2">
      <c r="A55" s="4">
        <v>54</v>
      </c>
      <c r="B55" s="32"/>
      <c r="C55" s="33"/>
      <c r="D55" s="32"/>
      <c r="E55" t="s">
        <v>239</v>
      </c>
      <c r="F55" t="s">
        <v>234</v>
      </c>
      <c r="G55" t="s">
        <v>236</v>
      </c>
      <c r="H55" s="17">
        <v>290</v>
      </c>
      <c r="I55" s="17">
        <v>3</v>
      </c>
    </row>
    <row r="56" spans="1:10" x14ac:dyDescent="0.2">
      <c r="A56" s="4">
        <v>55</v>
      </c>
      <c r="B56" s="32">
        <v>19</v>
      </c>
      <c r="C56" s="33" t="s">
        <v>289</v>
      </c>
      <c r="D56" s="32">
        <v>0</v>
      </c>
      <c r="E56" t="s">
        <v>282</v>
      </c>
      <c r="F56" t="s">
        <v>285</v>
      </c>
      <c r="G56" t="s">
        <v>245</v>
      </c>
      <c r="H56" s="17">
        <v>392</v>
      </c>
      <c r="I56" s="17">
        <v>1</v>
      </c>
    </row>
    <row r="57" spans="1:10" x14ac:dyDescent="0.2">
      <c r="A57" s="4">
        <v>56</v>
      </c>
      <c r="B57" s="32"/>
      <c r="C57" s="33"/>
      <c r="D57" s="32"/>
      <c r="E57" t="s">
        <v>283</v>
      </c>
      <c r="F57" t="s">
        <v>286</v>
      </c>
      <c r="G57" t="s">
        <v>246</v>
      </c>
      <c r="H57" s="17">
        <v>276</v>
      </c>
      <c r="I57" s="17">
        <v>3</v>
      </c>
    </row>
    <row r="58" spans="1:10" x14ac:dyDescent="0.2">
      <c r="A58" s="4">
        <v>57</v>
      </c>
      <c r="B58" s="32"/>
      <c r="C58" s="33"/>
      <c r="D58" s="32"/>
      <c r="E58" t="s">
        <v>284</v>
      </c>
      <c r="F58" t="s">
        <v>287</v>
      </c>
      <c r="G58" t="s">
        <v>247</v>
      </c>
      <c r="H58" s="17">
        <v>235</v>
      </c>
      <c r="I58" s="17">
        <v>3</v>
      </c>
    </row>
    <row r="59" spans="1:10" ht="30" customHeight="1" x14ac:dyDescent="0.2">
      <c r="A59" s="4">
        <v>58</v>
      </c>
      <c r="B59" s="32">
        <v>20</v>
      </c>
      <c r="C59" s="33" t="s">
        <v>288</v>
      </c>
      <c r="D59" s="32">
        <v>0</v>
      </c>
      <c r="E59" t="s">
        <v>240</v>
      </c>
      <c r="F59" t="s">
        <v>244</v>
      </c>
      <c r="G59" t="s">
        <v>245</v>
      </c>
      <c r="H59" s="17">
        <v>225</v>
      </c>
      <c r="I59" s="17">
        <v>3</v>
      </c>
      <c r="J59" s="37" t="s">
        <v>281</v>
      </c>
    </row>
    <row r="60" spans="1:10" x14ac:dyDescent="0.2">
      <c r="A60" s="4">
        <v>59</v>
      </c>
      <c r="B60" s="32"/>
      <c r="C60" s="33"/>
      <c r="D60" s="32"/>
      <c r="E60" t="s">
        <v>241</v>
      </c>
      <c r="F60" t="s">
        <v>249</v>
      </c>
      <c r="G60" t="s">
        <v>246</v>
      </c>
      <c r="H60" s="17">
        <v>330</v>
      </c>
      <c r="I60" s="17">
        <v>1</v>
      </c>
      <c r="J60" s="38"/>
    </row>
    <row r="61" spans="1:10" x14ac:dyDescent="0.2">
      <c r="A61" s="4">
        <v>60</v>
      </c>
      <c r="B61" s="32"/>
      <c r="C61" s="33"/>
      <c r="D61" s="32"/>
      <c r="E61" t="s">
        <v>242</v>
      </c>
      <c r="F61" t="s">
        <v>250</v>
      </c>
      <c r="G61" t="s">
        <v>247</v>
      </c>
      <c r="H61" s="17">
        <v>356</v>
      </c>
      <c r="I61" s="17">
        <v>1</v>
      </c>
      <c r="J61" s="38"/>
    </row>
    <row r="62" spans="1:10" x14ac:dyDescent="0.2">
      <c r="A62" s="4">
        <v>61</v>
      </c>
      <c r="B62" s="32">
        <v>21</v>
      </c>
      <c r="C62" s="33" t="s">
        <v>288</v>
      </c>
      <c r="D62" s="32">
        <v>0</v>
      </c>
      <c r="E62" t="s">
        <v>243</v>
      </c>
      <c r="F62" t="s">
        <v>251</v>
      </c>
      <c r="G62" t="s">
        <v>248</v>
      </c>
      <c r="H62" s="17">
        <v>329</v>
      </c>
      <c r="I62" s="17">
        <v>1</v>
      </c>
      <c r="J62" s="38"/>
    </row>
    <row r="63" spans="1:10" x14ac:dyDescent="0.2">
      <c r="A63" s="4">
        <v>62</v>
      </c>
      <c r="B63" s="32"/>
      <c r="C63" s="33"/>
      <c r="D63" s="32"/>
      <c r="I63" s="17"/>
    </row>
    <row r="64" spans="1:10" x14ac:dyDescent="0.2">
      <c r="A64" s="4">
        <v>63</v>
      </c>
      <c r="B64" s="32"/>
      <c r="C64" s="33"/>
      <c r="D64" s="32"/>
      <c r="I64" s="17"/>
    </row>
    <row r="65" spans="1:10" x14ac:dyDescent="0.2">
      <c r="A65" s="4">
        <v>64</v>
      </c>
      <c r="B65" s="32">
        <v>22</v>
      </c>
      <c r="C65" s="33" t="s">
        <v>325</v>
      </c>
      <c r="D65" s="32">
        <v>0</v>
      </c>
      <c r="E65" t="s">
        <v>240</v>
      </c>
      <c r="F65" t="s">
        <v>327</v>
      </c>
      <c r="G65" t="s">
        <v>245</v>
      </c>
      <c r="H65" s="17">
        <v>392</v>
      </c>
      <c r="I65" s="17">
        <v>1</v>
      </c>
    </row>
    <row r="66" spans="1:10" x14ac:dyDescent="0.2">
      <c r="A66" s="4">
        <v>65</v>
      </c>
      <c r="B66" s="32"/>
      <c r="C66" s="33"/>
      <c r="D66" s="32"/>
      <c r="E66" t="s">
        <v>241</v>
      </c>
      <c r="F66" t="s">
        <v>328</v>
      </c>
      <c r="G66" t="s">
        <v>246</v>
      </c>
      <c r="H66" s="17">
        <v>309</v>
      </c>
      <c r="I66" s="17">
        <v>3</v>
      </c>
    </row>
    <row r="67" spans="1:10" x14ac:dyDescent="0.2">
      <c r="A67" s="4">
        <v>66</v>
      </c>
      <c r="B67" s="32"/>
      <c r="C67" s="33"/>
      <c r="D67" s="32"/>
      <c r="E67" t="s">
        <v>242</v>
      </c>
      <c r="F67" t="s">
        <v>329</v>
      </c>
      <c r="G67" t="s">
        <v>247</v>
      </c>
      <c r="H67" s="17">
        <v>357</v>
      </c>
      <c r="I67" s="17">
        <v>1</v>
      </c>
    </row>
    <row r="68" spans="1:10" x14ac:dyDescent="0.2">
      <c r="A68" s="4">
        <v>67</v>
      </c>
      <c r="B68" s="32">
        <v>23</v>
      </c>
      <c r="C68" s="33" t="s">
        <v>291</v>
      </c>
      <c r="D68" s="32">
        <v>7.7</v>
      </c>
      <c r="E68" s="17" t="s">
        <v>139</v>
      </c>
      <c r="F68" t="s">
        <v>302</v>
      </c>
      <c r="G68" t="s">
        <v>292</v>
      </c>
      <c r="H68" s="17">
        <v>250</v>
      </c>
      <c r="I68" s="17">
        <v>3</v>
      </c>
      <c r="J68" s="34" t="s">
        <v>136</v>
      </c>
    </row>
    <row r="69" spans="1:10" x14ac:dyDescent="0.2">
      <c r="A69" s="4">
        <v>68</v>
      </c>
      <c r="B69" s="32"/>
      <c r="C69" s="33"/>
      <c r="D69" s="32"/>
      <c r="E69" s="17" t="s">
        <v>140</v>
      </c>
      <c r="F69" t="s">
        <v>303</v>
      </c>
      <c r="G69" t="s">
        <v>293</v>
      </c>
      <c r="H69" s="17">
        <v>250</v>
      </c>
      <c r="I69" s="17">
        <v>3</v>
      </c>
      <c r="J69" s="35"/>
    </row>
    <row r="70" spans="1:10" x14ac:dyDescent="0.2">
      <c r="A70" s="4">
        <v>69</v>
      </c>
      <c r="B70" s="32"/>
      <c r="C70" s="33"/>
      <c r="D70" s="32"/>
      <c r="E70" s="17" t="s">
        <v>141</v>
      </c>
      <c r="F70" t="s">
        <v>304</v>
      </c>
      <c r="G70" t="s">
        <v>294</v>
      </c>
      <c r="H70" s="17">
        <v>250</v>
      </c>
      <c r="I70" s="17">
        <v>3</v>
      </c>
      <c r="J70" s="36"/>
    </row>
    <row r="71" spans="1:10" x14ac:dyDescent="0.2">
      <c r="A71" s="4">
        <v>70</v>
      </c>
      <c r="B71" s="32">
        <v>24</v>
      </c>
      <c r="C71" s="33" t="s">
        <v>296</v>
      </c>
      <c r="D71" s="32">
        <v>7.6</v>
      </c>
      <c r="E71" s="17" t="s">
        <v>297</v>
      </c>
      <c r="F71" t="s">
        <v>298</v>
      </c>
      <c r="G71" t="s">
        <v>299</v>
      </c>
      <c r="H71" s="17">
        <v>250</v>
      </c>
      <c r="I71" s="17">
        <v>3</v>
      </c>
      <c r="J71" s="34" t="s">
        <v>136</v>
      </c>
    </row>
    <row r="72" spans="1:10" x14ac:dyDescent="0.2">
      <c r="A72" s="4">
        <v>71</v>
      </c>
      <c r="B72" s="32"/>
      <c r="C72" s="33"/>
      <c r="D72" s="32"/>
      <c r="E72" s="17" t="s">
        <v>185</v>
      </c>
      <c r="F72" t="s">
        <v>301</v>
      </c>
      <c r="G72" t="s">
        <v>300</v>
      </c>
      <c r="H72" s="17">
        <v>250</v>
      </c>
      <c r="I72" s="17">
        <v>3</v>
      </c>
      <c r="J72" s="35"/>
    </row>
    <row r="73" spans="1:10" x14ac:dyDescent="0.2">
      <c r="A73" s="4">
        <v>72</v>
      </c>
      <c r="B73" s="32"/>
      <c r="C73" s="33"/>
      <c r="D73" s="32"/>
      <c r="E73" s="17" t="s">
        <v>186</v>
      </c>
      <c r="F73" t="s">
        <v>306</v>
      </c>
      <c r="G73" t="s">
        <v>305</v>
      </c>
      <c r="H73" s="17">
        <v>250</v>
      </c>
      <c r="I73" s="17">
        <v>3</v>
      </c>
      <c r="J73" s="36"/>
    </row>
    <row r="74" spans="1:10" x14ac:dyDescent="0.2">
      <c r="A74" s="4">
        <v>73</v>
      </c>
      <c r="B74" s="32">
        <v>25</v>
      </c>
      <c r="C74" s="33" t="s">
        <v>309</v>
      </c>
      <c r="D74" s="32">
        <v>7.7</v>
      </c>
      <c r="E74" s="17" t="s">
        <v>130</v>
      </c>
      <c r="F74" t="s">
        <v>313</v>
      </c>
      <c r="G74" t="s">
        <v>316</v>
      </c>
      <c r="H74" s="17">
        <v>250</v>
      </c>
      <c r="I74" s="17">
        <v>3</v>
      </c>
      <c r="J74" s="34" t="s">
        <v>136</v>
      </c>
    </row>
    <row r="75" spans="1:10" ht="15" customHeight="1" x14ac:dyDescent="0.2">
      <c r="A75" s="4">
        <v>74</v>
      </c>
      <c r="B75" s="32"/>
      <c r="C75" s="33"/>
      <c r="D75" s="32"/>
      <c r="E75" s="17" t="s">
        <v>131</v>
      </c>
      <c r="F75" t="s">
        <v>314</v>
      </c>
      <c r="G75" t="s">
        <v>317</v>
      </c>
      <c r="H75" s="17">
        <v>250</v>
      </c>
      <c r="I75" s="17">
        <v>3</v>
      </c>
      <c r="J75" s="35"/>
    </row>
    <row r="76" spans="1:10" x14ac:dyDescent="0.2">
      <c r="A76" s="4">
        <v>75</v>
      </c>
      <c r="B76" s="32"/>
      <c r="C76" s="33"/>
      <c r="D76" s="32"/>
      <c r="E76" s="17" t="s">
        <v>311</v>
      </c>
      <c r="F76" t="s">
        <v>315</v>
      </c>
      <c r="G76" t="s">
        <v>318</v>
      </c>
      <c r="H76" s="17">
        <v>250</v>
      </c>
      <c r="I76" s="17">
        <v>3</v>
      </c>
      <c r="J76" s="36"/>
    </row>
    <row r="77" spans="1:10" x14ac:dyDescent="0.2">
      <c r="A77" s="4">
        <v>76</v>
      </c>
      <c r="B77" s="32">
        <v>26</v>
      </c>
      <c r="C77" s="33" t="s">
        <v>310</v>
      </c>
      <c r="D77" s="32">
        <v>7.6</v>
      </c>
      <c r="E77" s="17" t="s">
        <v>312</v>
      </c>
      <c r="F77" t="s">
        <v>319</v>
      </c>
      <c r="G77" t="s">
        <v>322</v>
      </c>
      <c r="H77" s="17">
        <v>250</v>
      </c>
      <c r="I77" s="17">
        <v>3</v>
      </c>
      <c r="J77" s="34" t="s">
        <v>136</v>
      </c>
    </row>
    <row r="78" spans="1:10" x14ac:dyDescent="0.2">
      <c r="A78" s="4">
        <v>77</v>
      </c>
      <c r="B78" s="32"/>
      <c r="C78" s="33"/>
      <c r="D78" s="32"/>
      <c r="E78" s="17" t="s">
        <v>167</v>
      </c>
      <c r="F78" t="s">
        <v>320</v>
      </c>
      <c r="G78" t="s">
        <v>323</v>
      </c>
      <c r="H78" s="17">
        <v>250</v>
      </c>
      <c r="I78" s="17">
        <v>3</v>
      </c>
      <c r="J78" s="35"/>
    </row>
    <row r="79" spans="1:10" x14ac:dyDescent="0.2">
      <c r="A79" s="4">
        <v>78</v>
      </c>
      <c r="B79" s="32"/>
      <c r="C79" s="33"/>
      <c r="D79" s="32"/>
      <c r="E79" s="17" t="s">
        <v>168</v>
      </c>
      <c r="F79" t="s">
        <v>321</v>
      </c>
      <c r="G79" t="s">
        <v>324</v>
      </c>
      <c r="H79" s="17">
        <v>250</v>
      </c>
      <c r="I79" s="17">
        <v>3</v>
      </c>
      <c r="J79" s="36"/>
    </row>
    <row r="80" spans="1:10" x14ac:dyDescent="0.2">
      <c r="A80" s="4">
        <v>79</v>
      </c>
      <c r="B80" s="32">
        <v>27</v>
      </c>
      <c r="C80" s="33" t="s">
        <v>333</v>
      </c>
      <c r="D80" s="32">
        <v>7.6</v>
      </c>
      <c r="E80" s="17" t="s">
        <v>330</v>
      </c>
      <c r="F80" t="s">
        <v>348</v>
      </c>
      <c r="G80" t="s">
        <v>345</v>
      </c>
      <c r="H80" s="17">
        <v>250</v>
      </c>
      <c r="I80" s="17">
        <v>3</v>
      </c>
      <c r="J80" s="34" t="s">
        <v>136</v>
      </c>
    </row>
    <row r="81" spans="1:10" x14ac:dyDescent="0.2">
      <c r="A81" s="4">
        <v>80</v>
      </c>
      <c r="B81" s="32"/>
      <c r="C81" s="33"/>
      <c r="D81" s="32"/>
      <c r="E81" s="17" t="s">
        <v>331</v>
      </c>
      <c r="F81" t="s">
        <v>349</v>
      </c>
      <c r="G81" t="s">
        <v>346</v>
      </c>
      <c r="H81" s="17">
        <v>250</v>
      </c>
      <c r="I81" s="17">
        <v>3</v>
      </c>
      <c r="J81" s="35"/>
    </row>
    <row r="82" spans="1:10" x14ac:dyDescent="0.2">
      <c r="A82" s="4">
        <v>81</v>
      </c>
      <c r="B82" s="32"/>
      <c r="C82" s="33"/>
      <c r="D82" s="32"/>
      <c r="E82" s="17" t="s">
        <v>332</v>
      </c>
      <c r="F82" t="s">
        <v>350</v>
      </c>
      <c r="G82" t="s">
        <v>347</v>
      </c>
      <c r="H82" s="17">
        <v>250</v>
      </c>
      <c r="I82" s="17">
        <v>3</v>
      </c>
      <c r="J82" s="36"/>
    </row>
    <row r="83" spans="1:10" x14ac:dyDescent="0.2">
      <c r="A83" s="4">
        <v>82</v>
      </c>
      <c r="B83" s="32">
        <v>28</v>
      </c>
      <c r="C83" s="33" t="s">
        <v>335</v>
      </c>
      <c r="D83" s="32">
        <v>6.8</v>
      </c>
      <c r="E83" s="17" t="s">
        <v>336</v>
      </c>
      <c r="F83" t="s">
        <v>339</v>
      </c>
      <c r="G83" t="s">
        <v>340</v>
      </c>
      <c r="H83" s="17">
        <v>279</v>
      </c>
      <c r="I83" s="17">
        <v>3</v>
      </c>
      <c r="J83" s="19"/>
    </row>
    <row r="84" spans="1:10" x14ac:dyDescent="0.2">
      <c r="A84" s="4">
        <v>83</v>
      </c>
      <c r="B84" s="32"/>
      <c r="C84" s="33"/>
      <c r="D84" s="32"/>
      <c r="E84" s="17" t="s">
        <v>337</v>
      </c>
      <c r="F84" t="s">
        <v>342</v>
      </c>
      <c r="G84" t="s">
        <v>341</v>
      </c>
      <c r="H84" s="17">
        <v>301</v>
      </c>
      <c r="I84" s="17">
        <v>1</v>
      </c>
      <c r="J84" s="19"/>
    </row>
    <row r="85" spans="1:10" x14ac:dyDescent="0.2">
      <c r="A85" s="4">
        <v>84</v>
      </c>
      <c r="B85" s="32"/>
      <c r="C85" s="33"/>
      <c r="D85" s="32"/>
      <c r="E85" s="17" t="s">
        <v>338</v>
      </c>
      <c r="F85" t="s">
        <v>344</v>
      </c>
      <c r="G85" t="s">
        <v>343</v>
      </c>
      <c r="H85" s="17">
        <v>235</v>
      </c>
      <c r="I85" s="17">
        <v>3</v>
      </c>
      <c r="J85" s="19"/>
    </row>
    <row r="86" spans="1:10" x14ac:dyDescent="0.2">
      <c r="A86" s="4">
        <v>85</v>
      </c>
      <c r="B86" s="32">
        <v>29</v>
      </c>
      <c r="C86" s="33" t="s">
        <v>351</v>
      </c>
      <c r="D86" s="32">
        <v>7.6</v>
      </c>
      <c r="E86" s="17" t="s">
        <v>352</v>
      </c>
      <c r="F86" t="s">
        <v>353</v>
      </c>
      <c r="G86" t="s">
        <v>354</v>
      </c>
      <c r="H86" s="17">
        <v>250</v>
      </c>
      <c r="I86" s="17">
        <v>3</v>
      </c>
      <c r="J86" s="34" t="s">
        <v>136</v>
      </c>
    </row>
    <row r="87" spans="1:10" x14ac:dyDescent="0.2">
      <c r="A87" s="4">
        <v>86</v>
      </c>
      <c r="B87" s="32"/>
      <c r="C87" s="33"/>
      <c r="D87" s="32"/>
      <c r="E87" s="17" t="s">
        <v>355</v>
      </c>
      <c r="F87" t="s">
        <v>359</v>
      </c>
      <c r="G87" t="s">
        <v>357</v>
      </c>
      <c r="H87" s="17">
        <v>250</v>
      </c>
      <c r="I87" s="17">
        <v>3</v>
      </c>
      <c r="J87" s="35"/>
    </row>
    <row r="88" spans="1:10" x14ac:dyDescent="0.2">
      <c r="A88" s="4">
        <v>87</v>
      </c>
      <c r="B88" s="32"/>
      <c r="C88" s="33"/>
      <c r="D88" s="32"/>
      <c r="E88" s="17" t="s">
        <v>356</v>
      </c>
      <c r="F88" t="s">
        <v>360</v>
      </c>
      <c r="G88" t="s">
        <v>358</v>
      </c>
      <c r="H88" s="17">
        <v>250</v>
      </c>
      <c r="I88" s="17">
        <v>3</v>
      </c>
      <c r="J88" s="36"/>
    </row>
    <row r="89" spans="1:10" x14ac:dyDescent="0.2">
      <c r="A89" s="4">
        <v>88</v>
      </c>
      <c r="B89" s="32">
        <v>30</v>
      </c>
      <c r="C89" s="33" t="s">
        <v>369</v>
      </c>
      <c r="D89" s="32">
        <v>5</v>
      </c>
      <c r="E89" s="17" t="s">
        <v>364</v>
      </c>
      <c r="F89" t="s">
        <v>362</v>
      </c>
      <c r="G89" t="s">
        <v>363</v>
      </c>
      <c r="H89" s="17">
        <v>250</v>
      </c>
      <c r="I89" s="17">
        <v>3</v>
      </c>
      <c r="J89" s="19"/>
    </row>
    <row r="90" spans="1:10" x14ac:dyDescent="0.2">
      <c r="A90" s="4">
        <v>89</v>
      </c>
      <c r="B90" s="32"/>
      <c r="C90" s="33"/>
      <c r="D90" s="32"/>
      <c r="E90" s="17" t="s">
        <v>365</v>
      </c>
      <c r="F90" t="s">
        <v>367</v>
      </c>
      <c r="G90" t="s">
        <v>363</v>
      </c>
      <c r="H90" s="17">
        <v>250</v>
      </c>
      <c r="I90" s="17">
        <v>3</v>
      </c>
      <c r="J90" s="19"/>
    </row>
    <row r="91" spans="1:10" x14ac:dyDescent="0.2">
      <c r="A91" s="4">
        <v>90</v>
      </c>
      <c r="B91" s="32"/>
      <c r="C91" s="33"/>
      <c r="D91" s="32"/>
      <c r="E91" s="17" t="s">
        <v>366</v>
      </c>
      <c r="F91" t="s">
        <v>368</v>
      </c>
      <c r="G91" t="s">
        <v>363</v>
      </c>
      <c r="H91" s="17">
        <v>250</v>
      </c>
      <c r="I91" s="17">
        <v>3</v>
      </c>
      <c r="J91" s="19"/>
    </row>
    <row r="92" spans="1:10" x14ac:dyDescent="0.2">
      <c r="A92" s="4">
        <v>91</v>
      </c>
      <c r="B92" s="32">
        <v>31</v>
      </c>
      <c r="C92" s="33" t="s">
        <v>374</v>
      </c>
      <c r="D92" s="32">
        <v>7.7</v>
      </c>
      <c r="E92" s="17" t="s">
        <v>371</v>
      </c>
      <c r="F92" t="s">
        <v>375</v>
      </c>
      <c r="G92" t="s">
        <v>378</v>
      </c>
      <c r="H92" s="17">
        <v>255</v>
      </c>
      <c r="I92" s="17">
        <v>3</v>
      </c>
      <c r="J92" s="19"/>
    </row>
    <row r="93" spans="1:10" x14ac:dyDescent="0.2">
      <c r="A93" s="4">
        <v>92</v>
      </c>
      <c r="B93" s="32"/>
      <c r="C93" s="33"/>
      <c r="D93" s="32"/>
      <c r="E93" s="17" t="s">
        <v>372</v>
      </c>
      <c r="F93" t="s">
        <v>376</v>
      </c>
      <c r="G93" t="s">
        <v>379</v>
      </c>
      <c r="H93" s="17">
        <v>100</v>
      </c>
      <c r="I93" s="17">
        <v>2</v>
      </c>
      <c r="J93" s="19"/>
    </row>
    <row r="94" spans="1:10" x14ac:dyDescent="0.2">
      <c r="A94" s="4">
        <v>93</v>
      </c>
      <c r="B94" s="32"/>
      <c r="C94" s="33"/>
      <c r="D94" s="32"/>
      <c r="E94" s="17" t="s">
        <v>373</v>
      </c>
      <c r="F94" t="s">
        <v>377</v>
      </c>
      <c r="G94" t="s">
        <v>380</v>
      </c>
      <c r="H94" s="17">
        <v>132</v>
      </c>
      <c r="I94" s="17">
        <v>2</v>
      </c>
      <c r="J94" s="19"/>
    </row>
    <row r="95" spans="1:10" ht="16" x14ac:dyDescent="0.2">
      <c r="A95" s="4">
        <v>94</v>
      </c>
      <c r="B95" s="32">
        <v>32</v>
      </c>
      <c r="C95" s="33" t="s">
        <v>370</v>
      </c>
      <c r="D95" s="32">
        <v>7.6</v>
      </c>
      <c r="E95" s="19" t="s">
        <v>381</v>
      </c>
      <c r="F95" t="s">
        <v>386</v>
      </c>
      <c r="G95" t="s">
        <v>384</v>
      </c>
      <c r="H95" s="17">
        <v>325</v>
      </c>
      <c r="I95" s="17">
        <v>3</v>
      </c>
      <c r="J95" s="19"/>
    </row>
    <row r="96" spans="1:10" ht="16" x14ac:dyDescent="0.2">
      <c r="A96" s="4">
        <v>95</v>
      </c>
      <c r="B96" s="32"/>
      <c r="C96" s="33"/>
      <c r="D96" s="32"/>
      <c r="E96" s="19" t="s">
        <v>382</v>
      </c>
      <c r="F96" t="s">
        <v>383</v>
      </c>
      <c r="G96" t="s">
        <v>385</v>
      </c>
      <c r="H96" s="17">
        <v>330</v>
      </c>
      <c r="I96" s="17">
        <v>1</v>
      </c>
      <c r="J96" s="19"/>
    </row>
    <row r="97" spans="1:10" ht="16" x14ac:dyDescent="0.2">
      <c r="A97" s="4">
        <v>96</v>
      </c>
      <c r="B97" s="32"/>
      <c r="C97" s="33"/>
      <c r="D97" s="32"/>
      <c r="E97" s="19" t="s">
        <v>389</v>
      </c>
      <c r="F97" t="s">
        <v>388</v>
      </c>
      <c r="G97" t="s">
        <v>387</v>
      </c>
      <c r="H97" s="17">
        <v>275</v>
      </c>
      <c r="I97" s="17">
        <v>3</v>
      </c>
      <c r="J97" s="19"/>
    </row>
    <row r="98" spans="1:10" x14ac:dyDescent="0.2">
      <c r="B98" s="32"/>
      <c r="C98" s="33"/>
      <c r="J98" s="19"/>
    </row>
    <row r="99" spans="1:10" x14ac:dyDescent="0.2">
      <c r="B99" s="32"/>
      <c r="C99" s="33"/>
      <c r="J99" s="19"/>
    </row>
    <row r="100" spans="1:10" x14ac:dyDescent="0.2">
      <c r="B100" s="32"/>
      <c r="C100" s="33"/>
      <c r="D100" s="4"/>
      <c r="J100" s="19"/>
    </row>
    <row r="101" spans="1:10" x14ac:dyDescent="0.2">
      <c r="A101" s="43"/>
      <c r="B101" s="43"/>
      <c r="C101" s="44"/>
      <c r="D101" s="43"/>
      <c r="E101" s="45"/>
      <c r="F101" s="46"/>
      <c r="G101" s="46"/>
      <c r="H101" s="47"/>
      <c r="I101" s="47"/>
      <c r="J101" s="48"/>
    </row>
    <row r="102" spans="1:10" x14ac:dyDescent="0.2">
      <c r="A102" s="43"/>
      <c r="B102" s="43"/>
      <c r="C102" s="44"/>
      <c r="D102" s="43"/>
      <c r="E102" s="45"/>
      <c r="F102" s="46"/>
      <c r="G102" s="46"/>
      <c r="H102" s="47"/>
      <c r="I102" s="47"/>
      <c r="J102" s="48"/>
    </row>
    <row r="103" spans="1:10" x14ac:dyDescent="0.2">
      <c r="A103" s="43"/>
      <c r="B103" s="43"/>
      <c r="C103" s="44"/>
      <c r="D103" s="43"/>
      <c r="E103" s="46"/>
      <c r="F103" s="46"/>
      <c r="G103" s="46"/>
      <c r="H103" s="47"/>
      <c r="I103" s="46"/>
      <c r="J103" s="45"/>
    </row>
    <row r="104" spans="1:10" x14ac:dyDescent="0.2">
      <c r="A104" s="43"/>
      <c r="B104" s="46"/>
      <c r="C104" s="44"/>
      <c r="D104" s="43"/>
      <c r="E104" s="46"/>
      <c r="F104" s="46"/>
      <c r="G104" s="46"/>
      <c r="H104" s="47"/>
      <c r="I104" s="46"/>
      <c r="J104" s="45"/>
    </row>
    <row r="105" spans="1:10" x14ac:dyDescent="0.2">
      <c r="A105" s="43"/>
      <c r="B105" s="46"/>
      <c r="C105" s="44"/>
      <c r="D105" s="43"/>
      <c r="E105" s="47"/>
      <c r="F105" s="46"/>
      <c r="G105" s="46"/>
      <c r="H105" s="47"/>
      <c r="I105" s="47"/>
      <c r="J105" s="49"/>
    </row>
    <row r="106" spans="1:10" x14ac:dyDescent="0.2">
      <c r="A106" s="43"/>
      <c r="B106" s="46"/>
      <c r="C106" s="44"/>
      <c r="D106" s="43"/>
      <c r="E106" s="47"/>
      <c r="F106" s="46"/>
      <c r="G106" s="46"/>
      <c r="H106" s="47"/>
      <c r="I106" s="47"/>
      <c r="J106" s="49"/>
    </row>
    <row r="107" spans="1:10" x14ac:dyDescent="0.2">
      <c r="A107" s="43"/>
      <c r="B107" s="46"/>
      <c r="C107" s="44"/>
      <c r="D107" s="43"/>
      <c r="E107" s="47"/>
      <c r="F107" s="46"/>
      <c r="G107" s="46"/>
      <c r="H107" s="47"/>
      <c r="I107" s="47"/>
      <c r="J107" s="45"/>
    </row>
    <row r="108" spans="1:10" x14ac:dyDescent="0.2">
      <c r="A108" s="43"/>
      <c r="B108" s="46"/>
      <c r="C108" s="44"/>
      <c r="D108" s="43"/>
      <c r="E108" s="46"/>
      <c r="F108" s="46"/>
      <c r="G108" s="46"/>
      <c r="H108" s="47"/>
      <c r="I108" s="46"/>
      <c r="J108" s="45"/>
    </row>
    <row r="109" spans="1:10" x14ac:dyDescent="0.2">
      <c r="A109" s="43"/>
      <c r="B109" s="43"/>
      <c r="C109" s="44"/>
      <c r="D109" s="43"/>
      <c r="E109" s="47"/>
      <c r="F109" s="46"/>
      <c r="G109" s="46"/>
      <c r="H109" s="47"/>
      <c r="I109" s="46"/>
      <c r="J109" s="45"/>
    </row>
    <row r="110" spans="1:10" x14ac:dyDescent="0.2">
      <c r="A110" s="43"/>
      <c r="B110" s="43"/>
      <c r="C110" s="44"/>
      <c r="D110" s="43"/>
      <c r="E110" s="46"/>
      <c r="F110" s="46"/>
      <c r="G110" s="46"/>
      <c r="H110" s="47"/>
      <c r="I110" s="46"/>
      <c r="J110" s="46"/>
    </row>
    <row r="111" spans="1:10" x14ac:dyDescent="0.2">
      <c r="A111" s="43"/>
      <c r="B111" s="43"/>
      <c r="C111" s="44"/>
      <c r="D111" s="43"/>
      <c r="E111" s="46"/>
      <c r="F111" s="46"/>
      <c r="G111" s="46"/>
      <c r="H111" s="47"/>
      <c r="I111" s="47"/>
      <c r="J111" s="46"/>
    </row>
    <row r="112" spans="1:10" x14ac:dyDescent="0.2">
      <c r="A112" s="43"/>
      <c r="B112" s="43"/>
      <c r="C112" s="44"/>
      <c r="D112" s="43"/>
      <c r="E112" s="46"/>
      <c r="F112" s="46"/>
      <c r="G112" s="46"/>
      <c r="H112" s="47"/>
      <c r="I112" s="47"/>
      <c r="J112" s="46"/>
    </row>
    <row r="113" spans="1:10" x14ac:dyDescent="0.2">
      <c r="A113" s="43"/>
      <c r="B113" s="43"/>
      <c r="C113" s="45"/>
      <c r="D113" s="43"/>
      <c r="E113" s="46"/>
      <c r="F113" s="46"/>
      <c r="G113" s="46"/>
      <c r="H113" s="47"/>
      <c r="I113" s="46"/>
      <c r="J113" s="46"/>
    </row>
    <row r="114" spans="1:10" x14ac:dyDescent="0.2">
      <c r="A114" s="43"/>
      <c r="B114" s="46"/>
      <c r="C114" s="45"/>
      <c r="D114" s="46"/>
      <c r="E114" s="46"/>
      <c r="F114" s="46"/>
      <c r="G114" s="46"/>
      <c r="H114" s="47"/>
      <c r="I114" s="47"/>
      <c r="J114" s="46"/>
    </row>
    <row r="115" spans="1:10" x14ac:dyDescent="0.2">
      <c r="A115" s="43"/>
      <c r="B115" s="46"/>
      <c r="C115" s="45"/>
      <c r="D115" s="46"/>
      <c r="E115" s="47"/>
      <c r="F115" s="46"/>
      <c r="G115" s="46"/>
      <c r="H115" s="47"/>
      <c r="I115" s="47"/>
      <c r="J115" s="46"/>
    </row>
    <row r="116" spans="1:10" x14ac:dyDescent="0.2">
      <c r="A116" s="43"/>
      <c r="B116" s="46"/>
      <c r="C116" s="45"/>
      <c r="D116" s="46"/>
      <c r="E116" s="47"/>
      <c r="F116" s="47"/>
      <c r="G116" s="47"/>
      <c r="H116" s="47"/>
      <c r="I116" s="47"/>
      <c r="J116" s="46"/>
    </row>
    <row r="117" spans="1:10" s="17" customFormat="1" x14ac:dyDescent="0.2">
      <c r="A117" s="43"/>
      <c r="B117" s="47"/>
      <c r="C117" s="44"/>
      <c r="D117" s="43"/>
      <c r="E117" s="47"/>
      <c r="F117" s="47"/>
      <c r="G117" s="47"/>
      <c r="H117" s="47"/>
      <c r="I117" s="47"/>
      <c r="J117" s="50"/>
    </row>
    <row r="118" spans="1:10" s="17" customFormat="1" x14ac:dyDescent="0.2">
      <c r="A118" s="43"/>
      <c r="B118" s="47"/>
      <c r="C118" s="49"/>
      <c r="D118" s="47"/>
      <c r="E118" s="47"/>
      <c r="F118" s="47"/>
      <c r="G118" s="47"/>
      <c r="H118" s="47"/>
      <c r="I118" s="47"/>
      <c r="J118" s="47"/>
    </row>
    <row r="119" spans="1:10" x14ac:dyDescent="0.2">
      <c r="A119" s="43"/>
      <c r="B119" s="46"/>
      <c r="C119" s="49"/>
      <c r="D119" s="46"/>
      <c r="E119" s="46"/>
      <c r="F119" s="46"/>
      <c r="G119" s="46"/>
      <c r="H119" s="47"/>
      <c r="I119" s="46"/>
      <c r="J119" s="46"/>
    </row>
    <row r="120" spans="1:10" s="17" customFormat="1" ht="15.75" customHeight="1" x14ac:dyDescent="0.2">
      <c r="A120" s="43"/>
      <c r="B120" s="47"/>
      <c r="C120" s="49"/>
      <c r="D120" s="47"/>
      <c r="E120" s="47"/>
      <c r="F120" s="46"/>
      <c r="G120" s="46"/>
      <c r="H120" s="47"/>
      <c r="I120" s="47"/>
      <c r="J120" s="47"/>
    </row>
    <row r="121" spans="1:10" x14ac:dyDescent="0.2">
      <c r="A121" s="43"/>
      <c r="B121" s="46"/>
      <c r="C121" s="45"/>
      <c r="D121" s="46"/>
      <c r="E121" s="47"/>
      <c r="F121" s="46"/>
      <c r="G121" s="46"/>
      <c r="H121" s="47"/>
      <c r="I121" s="47"/>
      <c r="J121" s="47"/>
    </row>
    <row r="122" spans="1:10" x14ac:dyDescent="0.2">
      <c r="A122" s="43"/>
      <c r="B122" s="46"/>
      <c r="C122" s="45"/>
      <c r="D122" s="46"/>
      <c r="E122" s="46"/>
      <c r="F122" s="46"/>
      <c r="G122" s="46"/>
      <c r="H122" s="47"/>
      <c r="I122" s="46"/>
      <c r="J122" s="46"/>
    </row>
    <row r="123" spans="1:10" x14ac:dyDescent="0.2">
      <c r="A123" s="43"/>
      <c r="B123" s="46"/>
      <c r="C123" s="45"/>
      <c r="D123" s="46"/>
      <c r="E123" s="47"/>
      <c r="F123" s="47"/>
      <c r="G123" s="47"/>
      <c r="H123" s="47"/>
      <c r="I123" s="47"/>
      <c r="J123" s="45"/>
    </row>
    <row r="124" spans="1:10" x14ac:dyDescent="0.2">
      <c r="A124" s="43"/>
      <c r="B124" s="46"/>
      <c r="C124" s="45"/>
      <c r="D124" s="46"/>
      <c r="E124" s="47"/>
      <c r="F124" s="47"/>
      <c r="G124" s="47"/>
      <c r="H124" s="47"/>
      <c r="I124" s="47"/>
      <c r="J124" s="46"/>
    </row>
    <row r="125" spans="1:10" x14ac:dyDescent="0.2">
      <c r="A125" s="43"/>
      <c r="B125" s="46"/>
      <c r="C125" s="45"/>
      <c r="D125" s="46"/>
      <c r="E125" s="46"/>
      <c r="F125" s="46"/>
      <c r="G125" s="46"/>
      <c r="H125" s="47"/>
      <c r="I125" s="47"/>
      <c r="J125" s="51"/>
    </row>
    <row r="126" spans="1:10" ht="15" customHeight="1" x14ac:dyDescent="0.2">
      <c r="A126" s="43"/>
      <c r="B126" s="46"/>
      <c r="C126" s="45"/>
      <c r="D126" s="46"/>
      <c r="E126" s="46"/>
      <c r="F126" s="46"/>
      <c r="G126" s="46"/>
      <c r="H126" s="47"/>
      <c r="I126" s="47"/>
      <c r="J126" s="51"/>
    </row>
    <row r="127" spans="1:10" ht="15" customHeight="1" x14ac:dyDescent="0.2">
      <c r="A127" s="43"/>
      <c r="B127" s="46"/>
      <c r="C127" s="45"/>
      <c r="D127" s="46"/>
      <c r="E127" s="46"/>
      <c r="F127" s="46"/>
      <c r="G127" s="46"/>
      <c r="H127" s="47"/>
      <c r="I127" s="47"/>
      <c r="J127" s="51"/>
    </row>
    <row r="128" spans="1:10" ht="15" customHeight="1" x14ac:dyDescent="0.2">
      <c r="A128" s="43"/>
      <c r="B128" s="46"/>
      <c r="C128" s="45"/>
      <c r="D128" s="46"/>
      <c r="E128" s="46"/>
      <c r="F128" s="46"/>
      <c r="G128" s="46"/>
      <c r="H128" s="47"/>
      <c r="I128" s="47"/>
      <c r="J128" s="51"/>
    </row>
    <row r="129" spans="1:10" x14ac:dyDescent="0.2">
      <c r="A129" s="43"/>
      <c r="B129" s="46"/>
      <c r="C129" s="45"/>
      <c r="D129" s="46"/>
      <c r="E129" s="46"/>
      <c r="F129" s="46"/>
      <c r="G129" s="46"/>
      <c r="H129" s="47"/>
      <c r="I129" s="46"/>
      <c r="J129" s="52"/>
    </row>
    <row r="130" spans="1:10" x14ac:dyDescent="0.2">
      <c r="A130" s="43"/>
      <c r="B130" s="46"/>
      <c r="C130" s="45"/>
      <c r="D130" s="46"/>
      <c r="E130" s="47"/>
      <c r="F130" s="46"/>
      <c r="G130" s="46"/>
      <c r="H130" s="47"/>
      <c r="I130" s="47"/>
      <c r="J130" s="49"/>
    </row>
    <row r="131" spans="1:10" ht="15" customHeight="1" x14ac:dyDescent="0.2">
      <c r="A131" s="43"/>
      <c r="B131" s="46"/>
      <c r="C131" s="45"/>
      <c r="D131" s="46"/>
      <c r="E131" s="47"/>
      <c r="F131" s="46"/>
      <c r="G131" s="46"/>
      <c r="H131" s="47"/>
      <c r="I131" s="47"/>
      <c r="J131" s="49"/>
    </row>
    <row r="132" spans="1:10" ht="15" customHeight="1" x14ac:dyDescent="0.2">
      <c r="A132" s="43"/>
      <c r="B132" s="46"/>
      <c r="C132" s="45"/>
      <c r="D132" s="46"/>
      <c r="E132" s="46"/>
      <c r="F132" s="46"/>
      <c r="G132" s="46"/>
      <c r="H132" s="47"/>
      <c r="I132" s="46"/>
      <c r="J132" s="45"/>
    </row>
    <row r="133" spans="1:10" s="17" customFormat="1" x14ac:dyDescent="0.2">
      <c r="A133" s="43"/>
      <c r="B133" s="47"/>
      <c r="C133" s="45"/>
      <c r="D133" s="46"/>
      <c r="E133" s="47"/>
      <c r="F133" s="46"/>
      <c r="G133" s="46"/>
      <c r="H133" s="47"/>
      <c r="I133" s="47"/>
      <c r="J133" s="45"/>
    </row>
    <row r="134" spans="1:10" x14ac:dyDescent="0.2">
      <c r="A134" s="43"/>
      <c r="B134" s="46"/>
      <c r="C134" s="45"/>
      <c r="D134" s="46"/>
      <c r="E134" s="46"/>
      <c r="F134" s="46"/>
      <c r="G134" s="46"/>
      <c r="H134" s="47"/>
      <c r="I134" s="46"/>
      <c r="J134" s="46"/>
    </row>
    <row r="135" spans="1:10" x14ac:dyDescent="0.2">
      <c r="A135" s="43"/>
      <c r="B135" s="46"/>
      <c r="C135" s="45"/>
      <c r="D135" s="46"/>
      <c r="E135" s="46"/>
      <c r="F135" s="46"/>
      <c r="G135" s="46"/>
      <c r="H135" s="47"/>
      <c r="I135" s="46"/>
      <c r="J135" s="46"/>
    </row>
    <row r="136" spans="1:10" x14ac:dyDescent="0.2">
      <c r="A136" s="43"/>
      <c r="B136" s="46"/>
      <c r="C136" s="45"/>
      <c r="D136" s="46"/>
      <c r="E136" s="46"/>
      <c r="F136" s="46"/>
      <c r="G136" s="46"/>
      <c r="H136" s="47"/>
      <c r="I136" s="46"/>
      <c r="J136" s="46"/>
    </row>
    <row r="137" spans="1:10" x14ac:dyDescent="0.2">
      <c r="A137" s="43"/>
      <c r="B137" s="46"/>
      <c r="C137" s="45"/>
      <c r="D137" s="46"/>
      <c r="E137" s="46"/>
      <c r="F137" s="46"/>
      <c r="G137" s="46"/>
      <c r="H137" s="47"/>
      <c r="I137" s="46"/>
      <c r="J137" s="46"/>
    </row>
    <row r="138" spans="1:10" x14ac:dyDescent="0.2">
      <c r="A138" s="43"/>
      <c r="B138" s="46"/>
      <c r="C138" s="45"/>
      <c r="D138" s="46"/>
      <c r="E138" s="46"/>
      <c r="F138" s="46"/>
      <c r="G138" s="46"/>
      <c r="H138" s="47"/>
      <c r="I138" s="46"/>
      <c r="J138" s="46"/>
    </row>
    <row r="139" spans="1:10" x14ac:dyDescent="0.2">
      <c r="A139" s="43"/>
      <c r="B139" s="53"/>
      <c r="C139" s="49"/>
      <c r="D139" s="53"/>
      <c r="E139" s="47"/>
      <c r="F139" s="46"/>
      <c r="G139" s="46"/>
      <c r="H139" s="47"/>
      <c r="I139" s="47"/>
      <c r="J139" s="54"/>
    </row>
    <row r="140" spans="1:10" x14ac:dyDescent="0.2">
      <c r="A140" s="43"/>
      <c r="B140" s="53"/>
      <c r="C140" s="49"/>
      <c r="D140" s="53"/>
      <c r="E140" s="47"/>
      <c r="F140" s="46"/>
      <c r="G140" s="46"/>
      <c r="H140" s="47"/>
      <c r="I140" s="47"/>
      <c r="J140" s="54"/>
    </row>
    <row r="141" spans="1:10" x14ac:dyDescent="0.2">
      <c r="A141" s="43"/>
      <c r="B141" s="53"/>
      <c r="C141" s="49"/>
      <c r="D141" s="53"/>
      <c r="E141" s="47"/>
      <c r="F141" s="46"/>
      <c r="G141" s="46"/>
      <c r="H141" s="47"/>
      <c r="I141" s="47"/>
      <c r="J141" s="54"/>
    </row>
    <row r="142" spans="1:10" x14ac:dyDescent="0.2">
      <c r="J142" s="29"/>
    </row>
  </sheetData>
  <mergeCells count="119">
    <mergeCell ref="J17:J19"/>
    <mergeCell ref="J29:J31"/>
    <mergeCell ref="J32:J34"/>
    <mergeCell ref="J38:J40"/>
    <mergeCell ref="J41:J43"/>
    <mergeCell ref="J59:J62"/>
    <mergeCell ref="C29:C31"/>
    <mergeCell ref="C56:C58"/>
    <mergeCell ref="B65:B67"/>
    <mergeCell ref="C65:C67"/>
    <mergeCell ref="D65:D67"/>
    <mergeCell ref="D56:D58"/>
    <mergeCell ref="D32:D34"/>
    <mergeCell ref="D17:D19"/>
    <mergeCell ref="D35:D37"/>
    <mergeCell ref="D44:D46"/>
    <mergeCell ref="D20:D22"/>
    <mergeCell ref="D41:D43"/>
    <mergeCell ref="D23:D25"/>
    <mergeCell ref="D38:D40"/>
    <mergeCell ref="D29:D31"/>
    <mergeCell ref="C26:C28"/>
    <mergeCell ref="D71:D73"/>
    <mergeCell ref="B47:B49"/>
    <mergeCell ref="B50:B52"/>
    <mergeCell ref="B53:B55"/>
    <mergeCell ref="B56:B58"/>
    <mergeCell ref="B59:B61"/>
    <mergeCell ref="C59:C61"/>
    <mergeCell ref="D59:D61"/>
    <mergeCell ref="B71:B73"/>
    <mergeCell ref="C71:C73"/>
    <mergeCell ref="D50:D52"/>
    <mergeCell ref="D53:D55"/>
    <mergeCell ref="D47:D49"/>
    <mergeCell ref="J71:J73"/>
    <mergeCell ref="C68:C70"/>
    <mergeCell ref="D68:D70"/>
    <mergeCell ref="J68:J70"/>
    <mergeCell ref="J74:J76"/>
    <mergeCell ref="D11:D13"/>
    <mergeCell ref="B26:B28"/>
    <mergeCell ref="B17:B19"/>
    <mergeCell ref="B20:B22"/>
    <mergeCell ref="B23:B25"/>
    <mergeCell ref="B29:B31"/>
    <mergeCell ref="B62:B64"/>
    <mergeCell ref="B68:B70"/>
    <mergeCell ref="B32:B34"/>
    <mergeCell ref="B35:B37"/>
    <mergeCell ref="B38:B40"/>
    <mergeCell ref="B41:B43"/>
    <mergeCell ref="B44:B46"/>
    <mergeCell ref="C14:C16"/>
    <mergeCell ref="C11:C13"/>
    <mergeCell ref="C44:C46"/>
    <mergeCell ref="D14:D16"/>
    <mergeCell ref="D26:D28"/>
    <mergeCell ref="B74:B76"/>
    <mergeCell ref="B2:B4"/>
    <mergeCell ref="B5:B7"/>
    <mergeCell ref="B8:B10"/>
    <mergeCell ref="B11:B13"/>
    <mergeCell ref="B14:B16"/>
    <mergeCell ref="C62:C64"/>
    <mergeCell ref="D62:D64"/>
    <mergeCell ref="C2:C4"/>
    <mergeCell ref="C5:C7"/>
    <mergeCell ref="C8:C10"/>
    <mergeCell ref="D2:D4"/>
    <mergeCell ref="D5:D7"/>
    <mergeCell ref="D8:D10"/>
    <mergeCell ref="C17:C19"/>
    <mergeCell ref="C23:C25"/>
    <mergeCell ref="C38:C40"/>
    <mergeCell ref="C41:C43"/>
    <mergeCell ref="C47:C49"/>
    <mergeCell ref="C50:C52"/>
    <mergeCell ref="C53:C55"/>
    <mergeCell ref="C32:C34"/>
    <mergeCell ref="C20:C22"/>
    <mergeCell ref="C35:C37"/>
    <mergeCell ref="J130:J131"/>
    <mergeCell ref="J139:J141"/>
    <mergeCell ref="B139:B141"/>
    <mergeCell ref="C139:C141"/>
    <mergeCell ref="C118:C120"/>
    <mergeCell ref="J80:J82"/>
    <mergeCell ref="D139:D141"/>
    <mergeCell ref="B77:B79"/>
    <mergeCell ref="B80:B82"/>
    <mergeCell ref="C80:C82"/>
    <mergeCell ref="D80:D82"/>
    <mergeCell ref="B83:B85"/>
    <mergeCell ref="C83:C85"/>
    <mergeCell ref="D83:D85"/>
    <mergeCell ref="B86:B88"/>
    <mergeCell ref="C86:C88"/>
    <mergeCell ref="D86:D88"/>
    <mergeCell ref="J86:J88"/>
    <mergeCell ref="D89:D91"/>
    <mergeCell ref="J77:J79"/>
    <mergeCell ref="D92:D94"/>
    <mergeCell ref="C92:C94"/>
    <mergeCell ref="C89:C91"/>
    <mergeCell ref="B89:B91"/>
    <mergeCell ref="B92:B94"/>
    <mergeCell ref="C74:C76"/>
    <mergeCell ref="D74:D76"/>
    <mergeCell ref="C77:C79"/>
    <mergeCell ref="D77:D79"/>
    <mergeCell ref="J125:J128"/>
    <mergeCell ref="J105:J106"/>
    <mergeCell ref="B95:B97"/>
    <mergeCell ref="B98:B100"/>
    <mergeCell ref="C95:C97"/>
    <mergeCell ref="D95:D97"/>
    <mergeCell ref="C98:C100"/>
    <mergeCell ref="J101:J102"/>
  </mergeCells>
  <phoneticPr fontId="4" type="noConversion"/>
  <hyperlinks>
    <hyperlink ref="F45" r:id="rId1" xr:uid="{18E45554-8D36-9544-BA9D-BB03AE99501E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34"/>
  <sheetViews>
    <sheetView tabSelected="1" zoomScale="85" zoomScaleNormal="85" workbookViewId="0">
      <selection activeCell="E234" sqref="E234"/>
    </sheetView>
  </sheetViews>
  <sheetFormatPr baseColWidth="10" defaultColWidth="8.83203125" defaultRowHeight="15" x14ac:dyDescent="0.2"/>
  <cols>
    <col min="1" max="1" width="12" customWidth="1"/>
    <col min="2" max="2" width="13.83203125" customWidth="1"/>
    <col min="3" max="3" width="10.6640625" customWidth="1"/>
    <col min="4" max="4" width="13.33203125" customWidth="1"/>
    <col min="5" max="5" width="13.5" customWidth="1"/>
    <col min="6" max="6" width="25.83203125" bestFit="1" customWidth="1"/>
  </cols>
  <sheetData>
    <row r="1" spans="1:15" x14ac:dyDescent="0.2">
      <c r="A1" s="41" t="s">
        <v>7</v>
      </c>
      <c r="B1" s="41"/>
      <c r="C1" s="41"/>
      <c r="D1" s="4"/>
      <c r="F1" s="4"/>
      <c r="G1" s="4"/>
      <c r="H1" s="4"/>
      <c r="I1" s="4"/>
      <c r="J1" s="4"/>
      <c r="K1" s="4"/>
      <c r="L1" s="4"/>
      <c r="M1" s="4"/>
      <c r="N1" s="4"/>
    </row>
    <row r="2" spans="1:15" x14ac:dyDescent="0.2">
      <c r="A2" s="2" t="s">
        <v>8</v>
      </c>
      <c r="B2" s="5" t="s">
        <v>1</v>
      </c>
      <c r="C2" s="5" t="s">
        <v>2</v>
      </c>
      <c r="D2" s="6" t="s">
        <v>3</v>
      </c>
      <c r="E2" s="7" t="s">
        <v>4</v>
      </c>
      <c r="F2" s="7" t="s">
        <v>5</v>
      </c>
      <c r="G2" s="40" t="s">
        <v>6</v>
      </c>
      <c r="H2" s="40"/>
      <c r="I2" s="40"/>
      <c r="J2" s="40"/>
      <c r="K2" s="40"/>
      <c r="L2" s="40"/>
      <c r="M2" s="40"/>
      <c r="N2" s="40"/>
      <c r="O2" s="40"/>
    </row>
    <row r="3" spans="1:15" x14ac:dyDescent="0.2">
      <c r="A3" s="1" t="s">
        <v>9</v>
      </c>
      <c r="B3" s="4">
        <v>48</v>
      </c>
      <c r="C3" s="4">
        <v>63</v>
      </c>
      <c r="D3" s="8">
        <v>204</v>
      </c>
      <c r="E3" s="4">
        <f>D3-C3</f>
        <v>141</v>
      </c>
      <c r="F3" s="4">
        <v>20.79</v>
      </c>
      <c r="G3" s="39"/>
      <c r="H3" s="39"/>
      <c r="I3" s="39"/>
      <c r="J3" s="39"/>
      <c r="K3" s="39"/>
      <c r="L3" s="39"/>
      <c r="M3" s="39"/>
      <c r="N3" s="39"/>
      <c r="O3" s="39"/>
    </row>
    <row r="4" spans="1:15" x14ac:dyDescent="0.2">
      <c r="A4" s="1" t="s">
        <v>10</v>
      </c>
      <c r="B4" s="4">
        <v>26</v>
      </c>
      <c r="C4" s="4">
        <v>36</v>
      </c>
      <c r="D4" s="8">
        <v>185</v>
      </c>
      <c r="E4" s="4">
        <f>D4-C4</f>
        <v>149</v>
      </c>
      <c r="F4" s="4">
        <v>21.33</v>
      </c>
      <c r="G4" s="4"/>
      <c r="H4" s="4"/>
      <c r="I4" s="4"/>
      <c r="J4" s="4"/>
      <c r="K4" s="4"/>
      <c r="L4" s="4"/>
      <c r="M4" s="4"/>
      <c r="N4" s="4"/>
      <c r="O4" s="4"/>
    </row>
    <row r="5" spans="1:15" x14ac:dyDescent="0.2">
      <c r="A5" s="1" t="s">
        <v>11</v>
      </c>
      <c r="B5" s="4">
        <v>58</v>
      </c>
      <c r="C5" s="4">
        <v>72</v>
      </c>
      <c r="D5" s="8">
        <v>220</v>
      </c>
      <c r="E5" s="4">
        <f>D5-C5</f>
        <v>148</v>
      </c>
      <c r="F5" s="4">
        <v>21.31</v>
      </c>
      <c r="G5" s="39"/>
      <c r="H5" s="39"/>
      <c r="I5" s="39"/>
      <c r="J5" s="39"/>
      <c r="K5" s="39"/>
      <c r="L5" s="39"/>
      <c r="M5" s="39"/>
      <c r="N5" s="39"/>
      <c r="O5" s="39"/>
    </row>
    <row r="6" spans="1:15" x14ac:dyDescent="0.2">
      <c r="F6" s="39"/>
      <c r="G6" s="39"/>
      <c r="H6" s="39"/>
      <c r="I6" s="39"/>
      <c r="J6" s="39"/>
      <c r="K6" s="39"/>
      <c r="L6" s="39"/>
      <c r="M6" s="39"/>
      <c r="N6" s="39"/>
    </row>
    <row r="7" spans="1:15" x14ac:dyDescent="0.2">
      <c r="A7" s="41" t="s">
        <v>13</v>
      </c>
      <c r="B7" s="41"/>
      <c r="C7" s="41"/>
    </row>
    <row r="8" spans="1:15" x14ac:dyDescent="0.2">
      <c r="A8" s="2" t="s">
        <v>8</v>
      </c>
      <c r="B8" s="5" t="s">
        <v>1</v>
      </c>
      <c r="C8" s="5" t="s">
        <v>2</v>
      </c>
      <c r="D8" s="6" t="s">
        <v>3</v>
      </c>
      <c r="E8" s="7" t="s">
        <v>4</v>
      </c>
      <c r="F8" s="7" t="s">
        <v>5</v>
      </c>
      <c r="G8" s="40" t="s">
        <v>6</v>
      </c>
      <c r="H8" s="40"/>
      <c r="I8" s="40"/>
      <c r="J8" s="40"/>
      <c r="K8" s="40"/>
      <c r="L8" s="40"/>
      <c r="M8" s="40"/>
      <c r="N8" s="40"/>
      <c r="O8" s="40"/>
    </row>
    <row r="9" spans="1:15" x14ac:dyDescent="0.2">
      <c r="A9" s="1" t="s">
        <v>9</v>
      </c>
      <c r="B9" s="4">
        <v>33</v>
      </c>
      <c r="C9" s="4">
        <v>54</v>
      </c>
      <c r="D9" s="8">
        <v>193</v>
      </c>
      <c r="E9" s="4">
        <f>D9-C9</f>
        <v>139</v>
      </c>
      <c r="F9" s="4">
        <v>21.35</v>
      </c>
    </row>
    <row r="10" spans="1:15" x14ac:dyDescent="0.2">
      <c r="A10" s="1" t="s">
        <v>10</v>
      </c>
      <c r="B10" s="4">
        <v>33</v>
      </c>
      <c r="C10" s="4">
        <v>45</v>
      </c>
      <c r="D10" s="8">
        <v>194</v>
      </c>
      <c r="E10" s="4">
        <f>D10-C10</f>
        <v>149</v>
      </c>
      <c r="F10" s="4">
        <v>23.18</v>
      </c>
      <c r="G10" s="4"/>
      <c r="H10" s="4"/>
      <c r="I10" s="4"/>
      <c r="J10" s="4"/>
      <c r="K10" s="4"/>
      <c r="L10" s="4"/>
      <c r="M10" s="4"/>
      <c r="N10" s="4"/>
      <c r="O10" s="4"/>
    </row>
    <row r="11" spans="1:15" x14ac:dyDescent="0.2">
      <c r="A11" s="1" t="s">
        <v>11</v>
      </c>
      <c r="B11" s="4">
        <v>52</v>
      </c>
      <c r="C11" s="4">
        <v>70</v>
      </c>
      <c r="D11" s="8">
        <v>218</v>
      </c>
      <c r="E11" s="4">
        <f>D11-C11</f>
        <v>148</v>
      </c>
      <c r="F11" s="4">
        <v>21.34</v>
      </c>
    </row>
    <row r="12" spans="1:15" x14ac:dyDescent="0.2">
      <c r="A12" s="9" t="s">
        <v>12</v>
      </c>
      <c r="B12" s="3"/>
      <c r="C12" s="3"/>
      <c r="D12" s="10"/>
      <c r="E12" s="4">
        <f>D12-C12</f>
        <v>0</v>
      </c>
    </row>
    <row r="14" spans="1:15" x14ac:dyDescent="0.2">
      <c r="A14" s="41" t="s">
        <v>0</v>
      </c>
      <c r="B14" s="41"/>
      <c r="C14" s="41"/>
      <c r="D14" s="4"/>
    </row>
    <row r="15" spans="1:15" x14ac:dyDescent="0.2">
      <c r="A15" s="2" t="s">
        <v>8</v>
      </c>
      <c r="B15" s="5" t="s">
        <v>1</v>
      </c>
      <c r="C15" s="5" t="s">
        <v>2</v>
      </c>
      <c r="D15" s="6" t="s">
        <v>3</v>
      </c>
      <c r="E15" s="7" t="s">
        <v>4</v>
      </c>
      <c r="F15" s="7" t="s">
        <v>5</v>
      </c>
      <c r="G15" s="40" t="s">
        <v>6</v>
      </c>
      <c r="H15" s="40"/>
      <c r="I15" s="40"/>
      <c r="J15" s="40"/>
      <c r="K15" s="40"/>
      <c r="L15" s="40"/>
      <c r="M15" s="40"/>
      <c r="N15" s="40"/>
      <c r="O15" s="40"/>
    </row>
    <row r="16" spans="1:15" x14ac:dyDescent="0.2">
      <c r="A16" s="1" t="s">
        <v>9</v>
      </c>
      <c r="B16" s="4">
        <v>1</v>
      </c>
      <c r="C16" s="4">
        <v>19</v>
      </c>
      <c r="D16" s="8">
        <v>160</v>
      </c>
      <c r="E16" s="4">
        <f>D16-C16</f>
        <v>141</v>
      </c>
      <c r="F16" s="4">
        <v>22.82</v>
      </c>
    </row>
    <row r="17" spans="1:15" x14ac:dyDescent="0.2">
      <c r="A17" s="1" t="s">
        <v>10</v>
      </c>
      <c r="B17" s="4">
        <v>7</v>
      </c>
      <c r="C17" s="4">
        <v>18</v>
      </c>
      <c r="D17" s="8">
        <v>135</v>
      </c>
      <c r="E17" s="4">
        <f>D17-C17</f>
        <v>117</v>
      </c>
      <c r="F17" s="4">
        <v>24.83</v>
      </c>
    </row>
    <row r="18" spans="1:15" x14ac:dyDescent="0.2">
      <c r="A18" s="1" t="s">
        <v>11</v>
      </c>
      <c r="B18" s="4">
        <v>9</v>
      </c>
      <c r="C18" s="4">
        <v>21</v>
      </c>
      <c r="D18" s="8">
        <v>160</v>
      </c>
      <c r="E18" s="4">
        <f>D18-C18</f>
        <v>139</v>
      </c>
      <c r="F18" s="4">
        <v>19.940000000000001</v>
      </c>
    </row>
    <row r="19" spans="1:15" x14ac:dyDescent="0.2">
      <c r="B19" s="3"/>
      <c r="C19" s="3"/>
      <c r="D19" s="10"/>
      <c r="E19" s="4">
        <f>D19-C19</f>
        <v>0</v>
      </c>
    </row>
    <row r="21" spans="1:15" x14ac:dyDescent="0.2">
      <c r="A21" s="32" t="s">
        <v>14</v>
      </c>
      <c r="B21" s="32"/>
      <c r="C21" s="32"/>
    </row>
    <row r="22" spans="1:15" x14ac:dyDescent="0.2">
      <c r="A22" s="2" t="s">
        <v>8</v>
      </c>
      <c r="B22" s="5" t="s">
        <v>1</v>
      </c>
      <c r="C22" s="5" t="s">
        <v>2</v>
      </c>
      <c r="D22" s="6" t="s">
        <v>3</v>
      </c>
      <c r="E22" s="7" t="s">
        <v>4</v>
      </c>
      <c r="F22" s="7" t="s">
        <v>5</v>
      </c>
      <c r="G22" s="40" t="s">
        <v>6</v>
      </c>
      <c r="H22" s="40"/>
      <c r="I22" s="40"/>
      <c r="J22" s="40"/>
      <c r="K22" s="40"/>
      <c r="L22" s="40"/>
      <c r="M22" s="40"/>
      <c r="N22" s="40"/>
      <c r="O22" s="40"/>
    </row>
    <row r="23" spans="1:15" x14ac:dyDescent="0.2">
      <c r="A23" s="1" t="s">
        <v>9</v>
      </c>
      <c r="B23" s="4">
        <v>15</v>
      </c>
      <c r="C23" s="4">
        <v>30</v>
      </c>
      <c r="D23" s="8">
        <v>189</v>
      </c>
      <c r="E23" s="4">
        <f>D23-C23</f>
        <v>159</v>
      </c>
      <c r="F23" s="4">
        <v>21.3</v>
      </c>
      <c r="G23" s="39"/>
      <c r="H23" s="39"/>
      <c r="I23" s="39"/>
      <c r="J23" s="39"/>
      <c r="K23" s="39"/>
      <c r="L23" s="39"/>
      <c r="M23" s="39"/>
      <c r="N23" s="39"/>
      <c r="O23" s="39"/>
    </row>
    <row r="24" spans="1:15" x14ac:dyDescent="0.2">
      <c r="A24" s="1" t="s">
        <v>10</v>
      </c>
      <c r="B24" s="4">
        <v>47</v>
      </c>
      <c r="C24" s="4">
        <v>60</v>
      </c>
      <c r="D24" s="8">
        <v>238</v>
      </c>
      <c r="E24" s="4">
        <f t="shared" ref="E24:E26" si="0">D24-C24</f>
        <v>178</v>
      </c>
      <c r="F24" s="4">
        <v>23.41</v>
      </c>
      <c r="G24" s="4"/>
      <c r="H24" s="4"/>
      <c r="I24" s="4"/>
      <c r="J24" s="4"/>
      <c r="K24" s="4"/>
      <c r="L24" s="4"/>
      <c r="M24" s="4"/>
      <c r="N24" s="4"/>
      <c r="O24" s="4"/>
    </row>
    <row r="25" spans="1:15" x14ac:dyDescent="0.2">
      <c r="A25" s="1" t="s">
        <v>11</v>
      </c>
      <c r="B25" s="4">
        <v>35</v>
      </c>
      <c r="C25" s="4">
        <v>46</v>
      </c>
      <c r="D25" s="8">
        <v>195</v>
      </c>
      <c r="E25" s="4">
        <f t="shared" si="0"/>
        <v>149</v>
      </c>
      <c r="F25" s="4">
        <v>23.38</v>
      </c>
      <c r="G25" s="39"/>
      <c r="H25" s="39"/>
      <c r="I25" s="39"/>
      <c r="J25" s="39"/>
      <c r="K25" s="39"/>
      <c r="L25" s="39"/>
      <c r="M25" s="39"/>
      <c r="N25" s="39"/>
      <c r="O25" s="39"/>
    </row>
    <row r="26" spans="1:15" x14ac:dyDescent="0.2">
      <c r="A26" s="9" t="s">
        <v>12</v>
      </c>
      <c r="B26" s="3"/>
      <c r="C26" s="3"/>
      <c r="D26" s="10"/>
      <c r="E26" s="4">
        <f t="shared" si="0"/>
        <v>0</v>
      </c>
      <c r="F26" s="4"/>
      <c r="G26" s="39"/>
      <c r="H26" s="39"/>
      <c r="I26" s="39"/>
      <c r="J26" s="39"/>
      <c r="K26" s="39"/>
      <c r="L26" s="39"/>
      <c r="M26" s="39"/>
      <c r="N26" s="39"/>
      <c r="O26" s="39"/>
    </row>
    <row r="28" spans="1:15" x14ac:dyDescent="0.2">
      <c r="A28" s="32" t="s">
        <v>15</v>
      </c>
      <c r="B28" s="32"/>
      <c r="C28" s="32"/>
    </row>
    <row r="29" spans="1:15" x14ac:dyDescent="0.2">
      <c r="A29" s="2" t="s">
        <v>8</v>
      </c>
      <c r="B29" s="5" t="s">
        <v>1</v>
      </c>
      <c r="C29" s="5" t="s">
        <v>2</v>
      </c>
      <c r="D29" s="6" t="s">
        <v>3</v>
      </c>
      <c r="E29" s="7" t="s">
        <v>4</v>
      </c>
      <c r="F29" s="7" t="s">
        <v>5</v>
      </c>
      <c r="G29" s="40" t="s">
        <v>6</v>
      </c>
      <c r="H29" s="40"/>
      <c r="I29" s="40"/>
      <c r="J29" s="40"/>
      <c r="K29" s="40"/>
      <c r="L29" s="40"/>
      <c r="M29" s="40"/>
      <c r="N29" s="40"/>
      <c r="O29" s="40"/>
    </row>
    <row r="30" spans="1:15" x14ac:dyDescent="0.2">
      <c r="A30" s="1" t="s">
        <v>9</v>
      </c>
      <c r="B30" s="4">
        <v>41</v>
      </c>
      <c r="C30" s="4">
        <v>54</v>
      </c>
      <c r="D30" s="8">
        <v>164</v>
      </c>
      <c r="E30" s="4">
        <f>D30-C30</f>
        <v>110</v>
      </c>
      <c r="F30" s="4">
        <v>21.38</v>
      </c>
      <c r="G30" s="39" t="s">
        <v>16</v>
      </c>
      <c r="H30" s="39"/>
      <c r="I30" s="39"/>
      <c r="J30" s="39"/>
      <c r="K30" s="39"/>
      <c r="L30" s="39"/>
      <c r="M30" s="39"/>
      <c r="N30" s="39"/>
      <c r="O30" s="39"/>
    </row>
    <row r="31" spans="1:15" x14ac:dyDescent="0.2">
      <c r="A31" s="1" t="s">
        <v>10</v>
      </c>
      <c r="B31" s="4">
        <v>59</v>
      </c>
      <c r="C31" s="4">
        <v>70</v>
      </c>
      <c r="D31" s="8">
        <v>172</v>
      </c>
      <c r="E31" s="4">
        <f>D31-C31</f>
        <v>102</v>
      </c>
      <c r="F31" s="4">
        <v>23.4</v>
      </c>
      <c r="G31" s="4"/>
      <c r="H31" s="4"/>
      <c r="I31" s="4"/>
      <c r="J31" s="4"/>
      <c r="K31" s="4"/>
      <c r="L31" s="4"/>
      <c r="M31" s="4"/>
      <c r="N31" s="4"/>
      <c r="O31" s="4"/>
    </row>
    <row r="32" spans="1:15" x14ac:dyDescent="0.2">
      <c r="A32" s="1" t="s">
        <v>11</v>
      </c>
      <c r="B32" s="4">
        <v>50</v>
      </c>
      <c r="C32" s="4">
        <v>70</v>
      </c>
      <c r="D32" s="8">
        <v>174</v>
      </c>
      <c r="E32" s="4">
        <f>D32-C32</f>
        <v>104</v>
      </c>
      <c r="F32" s="4">
        <v>21.32</v>
      </c>
      <c r="G32" s="39" t="s">
        <v>17</v>
      </c>
      <c r="H32" s="39"/>
      <c r="I32" s="39"/>
      <c r="J32" s="39"/>
      <c r="K32" s="39"/>
      <c r="L32" s="39"/>
      <c r="M32" s="39"/>
      <c r="N32" s="39"/>
      <c r="O32" s="39"/>
    </row>
    <row r="33" spans="1:15" x14ac:dyDescent="0.2">
      <c r="A33" s="11" t="s">
        <v>12</v>
      </c>
      <c r="B33" s="12">
        <v>32</v>
      </c>
      <c r="C33" s="12">
        <v>44</v>
      </c>
      <c r="D33" s="13">
        <v>135</v>
      </c>
      <c r="E33" s="14">
        <f>D33-C33</f>
        <v>91</v>
      </c>
      <c r="F33" s="14">
        <v>21.32</v>
      </c>
      <c r="G33" s="42" t="s">
        <v>18</v>
      </c>
      <c r="H33" s="42"/>
      <c r="I33" s="42"/>
      <c r="J33" s="42"/>
      <c r="K33" s="42"/>
      <c r="L33" s="42"/>
      <c r="M33" s="42"/>
      <c r="N33" s="42"/>
      <c r="O33" s="42"/>
    </row>
    <row r="35" spans="1:15" x14ac:dyDescent="0.2">
      <c r="A35" s="41" t="s">
        <v>98</v>
      </c>
      <c r="B35" s="41"/>
      <c r="C35" s="41"/>
    </row>
    <row r="36" spans="1:15" x14ac:dyDescent="0.2">
      <c r="A36" s="2" t="s">
        <v>8</v>
      </c>
      <c r="B36" s="5" t="s">
        <v>1</v>
      </c>
      <c r="C36" s="5" t="s">
        <v>2</v>
      </c>
      <c r="D36" s="6" t="s">
        <v>3</v>
      </c>
      <c r="E36" s="7" t="s">
        <v>4</v>
      </c>
      <c r="F36" s="7" t="s">
        <v>5</v>
      </c>
      <c r="G36" s="40" t="s">
        <v>6</v>
      </c>
      <c r="H36" s="40"/>
      <c r="I36" s="40"/>
      <c r="J36" s="40"/>
      <c r="K36" s="40"/>
      <c r="L36" s="40"/>
      <c r="M36" s="40"/>
      <c r="N36" s="40"/>
      <c r="O36" s="40"/>
    </row>
    <row r="37" spans="1:15" x14ac:dyDescent="0.2">
      <c r="A37" s="1" t="s">
        <v>9</v>
      </c>
      <c r="B37" s="4">
        <v>56</v>
      </c>
      <c r="C37" s="4">
        <v>85</v>
      </c>
      <c r="D37" s="8">
        <v>209</v>
      </c>
      <c r="E37" s="4">
        <f>D37-C37</f>
        <v>124</v>
      </c>
      <c r="F37" s="4"/>
      <c r="G37" s="39" t="s">
        <v>100</v>
      </c>
      <c r="H37" s="39"/>
      <c r="I37" s="39"/>
      <c r="J37" s="39"/>
      <c r="K37" s="39"/>
      <c r="L37" s="39"/>
      <c r="M37" s="39"/>
      <c r="N37" s="39"/>
      <c r="O37" s="39"/>
    </row>
    <row r="38" spans="1:15" x14ac:dyDescent="0.2">
      <c r="A38" s="1" t="s">
        <v>10</v>
      </c>
      <c r="B38" s="4">
        <v>30</v>
      </c>
      <c r="C38" s="4">
        <v>52</v>
      </c>
      <c r="D38" s="8">
        <v>214</v>
      </c>
      <c r="E38" s="4">
        <f>D38-C38</f>
        <v>162</v>
      </c>
      <c r="F38" s="4"/>
      <c r="G38" s="4"/>
      <c r="H38" s="4"/>
      <c r="I38" s="4"/>
      <c r="J38" s="4"/>
      <c r="K38" s="4"/>
      <c r="L38" s="4"/>
      <c r="M38" s="4"/>
      <c r="N38" s="4"/>
      <c r="O38" s="4"/>
    </row>
    <row r="39" spans="1:15" x14ac:dyDescent="0.2">
      <c r="A39" s="1" t="s">
        <v>11</v>
      </c>
      <c r="B39" s="4">
        <v>36</v>
      </c>
      <c r="C39" s="4">
        <v>52</v>
      </c>
      <c r="D39" s="8">
        <v>180</v>
      </c>
      <c r="E39" s="4">
        <f>D39-C39</f>
        <v>128</v>
      </c>
      <c r="F39" s="4"/>
      <c r="G39" s="39"/>
      <c r="H39" s="39"/>
      <c r="I39" s="39"/>
      <c r="J39" s="39"/>
      <c r="K39" s="39"/>
      <c r="L39" s="39"/>
      <c r="M39" s="39"/>
      <c r="N39" s="39"/>
      <c r="O39" s="39"/>
    </row>
    <row r="40" spans="1:15" x14ac:dyDescent="0.2">
      <c r="A40" s="9" t="s">
        <v>12</v>
      </c>
      <c r="B40" s="3">
        <v>78</v>
      </c>
      <c r="C40" s="3">
        <v>101</v>
      </c>
      <c r="D40" s="10">
        <v>200</v>
      </c>
      <c r="E40" s="4">
        <f>D40-C40</f>
        <v>99</v>
      </c>
      <c r="F40" s="4"/>
      <c r="G40" s="39"/>
      <c r="H40" s="39"/>
      <c r="I40" s="39"/>
      <c r="J40" s="39"/>
      <c r="K40" s="39"/>
      <c r="L40" s="39"/>
      <c r="M40" s="39"/>
      <c r="N40" s="39"/>
      <c r="O40" s="39"/>
    </row>
    <row r="42" spans="1:15" x14ac:dyDescent="0.2">
      <c r="A42" s="32" t="s">
        <v>99</v>
      </c>
      <c r="B42" s="32"/>
      <c r="C42" s="32"/>
    </row>
    <row r="43" spans="1:15" x14ac:dyDescent="0.2">
      <c r="A43" s="2" t="s">
        <v>8</v>
      </c>
      <c r="B43" s="5" t="s">
        <v>1</v>
      </c>
      <c r="C43" s="5" t="s">
        <v>2</v>
      </c>
      <c r="D43" s="6" t="s">
        <v>3</v>
      </c>
      <c r="E43" s="7" t="s">
        <v>4</v>
      </c>
      <c r="F43" s="7" t="s">
        <v>5</v>
      </c>
      <c r="G43" s="40" t="s">
        <v>6</v>
      </c>
      <c r="H43" s="40"/>
      <c r="I43" s="40"/>
      <c r="J43" s="40"/>
      <c r="K43" s="40"/>
      <c r="L43" s="40"/>
      <c r="M43" s="40"/>
      <c r="N43" s="40"/>
      <c r="O43" s="40"/>
    </row>
    <row r="44" spans="1:15" x14ac:dyDescent="0.2">
      <c r="A44" s="1" t="s">
        <v>9</v>
      </c>
      <c r="B44" s="4">
        <v>18</v>
      </c>
      <c r="C44" s="4">
        <v>32</v>
      </c>
      <c r="D44" s="8">
        <v>168</v>
      </c>
      <c r="E44" s="4">
        <f>D44-C44</f>
        <v>136</v>
      </c>
      <c r="F44" s="4"/>
      <c r="G44" s="39"/>
      <c r="H44" s="39"/>
      <c r="I44" s="39"/>
      <c r="J44" s="39"/>
      <c r="K44" s="39"/>
      <c r="L44" s="39"/>
      <c r="M44" s="39"/>
      <c r="N44" s="39"/>
      <c r="O44" s="39"/>
    </row>
    <row r="45" spans="1:15" x14ac:dyDescent="0.2">
      <c r="A45" s="1" t="s">
        <v>10</v>
      </c>
      <c r="B45" s="4">
        <v>34</v>
      </c>
      <c r="C45" s="4">
        <v>50</v>
      </c>
      <c r="D45" s="8">
        <v>177</v>
      </c>
      <c r="E45" s="4">
        <f t="shared" ref="E45:E47" si="1">D45-C45</f>
        <v>127</v>
      </c>
      <c r="F45" s="4"/>
      <c r="G45" s="4"/>
      <c r="H45" s="4"/>
      <c r="I45" s="4"/>
      <c r="J45" s="4"/>
      <c r="K45" s="4"/>
      <c r="L45" s="4"/>
      <c r="M45" s="4"/>
      <c r="N45" s="4"/>
      <c r="O45" s="4"/>
    </row>
    <row r="46" spans="1:15" x14ac:dyDescent="0.2">
      <c r="A46" s="1" t="s">
        <v>11</v>
      </c>
      <c r="B46" s="4">
        <v>28</v>
      </c>
      <c r="C46" s="4">
        <v>45</v>
      </c>
      <c r="D46" s="8">
        <v>136</v>
      </c>
      <c r="E46" s="4">
        <f t="shared" si="1"/>
        <v>91</v>
      </c>
      <c r="F46" s="4"/>
      <c r="G46" s="39"/>
      <c r="H46" s="39"/>
      <c r="I46" s="39"/>
      <c r="J46" s="39"/>
      <c r="K46" s="39"/>
      <c r="L46" s="39"/>
      <c r="M46" s="39"/>
      <c r="N46" s="39"/>
      <c r="O46" s="39"/>
    </row>
    <row r="47" spans="1:15" x14ac:dyDescent="0.2">
      <c r="A47" s="9" t="s">
        <v>12</v>
      </c>
      <c r="B47" s="3"/>
      <c r="C47" s="3"/>
      <c r="D47" s="10"/>
      <c r="E47" s="4">
        <f t="shared" si="1"/>
        <v>0</v>
      </c>
      <c r="F47" s="4"/>
      <c r="G47" s="39"/>
      <c r="H47" s="39"/>
      <c r="I47" s="39"/>
      <c r="J47" s="39"/>
      <c r="K47" s="39"/>
      <c r="L47" s="39"/>
      <c r="M47" s="39"/>
      <c r="N47" s="39"/>
      <c r="O47" s="39"/>
    </row>
    <row r="49" spans="1:15" x14ac:dyDescent="0.2">
      <c r="A49" s="32" t="s">
        <v>127</v>
      </c>
      <c r="B49" s="32"/>
      <c r="C49" s="32"/>
    </row>
    <row r="50" spans="1:15" x14ac:dyDescent="0.2">
      <c r="A50" s="2" t="s">
        <v>8</v>
      </c>
      <c r="B50" s="5" t="s">
        <v>1</v>
      </c>
      <c r="C50" s="5" t="s">
        <v>2</v>
      </c>
      <c r="D50" s="6" t="s">
        <v>3</v>
      </c>
      <c r="E50" s="7" t="s">
        <v>4</v>
      </c>
      <c r="F50" s="7" t="s">
        <v>5</v>
      </c>
      <c r="G50" s="40" t="s">
        <v>6</v>
      </c>
      <c r="H50" s="40"/>
      <c r="I50" s="40"/>
      <c r="J50" s="40"/>
      <c r="K50" s="40"/>
      <c r="L50" s="40"/>
      <c r="M50" s="40"/>
      <c r="N50" s="40"/>
      <c r="O50" s="40"/>
    </row>
    <row r="51" spans="1:15" x14ac:dyDescent="0.2">
      <c r="A51" s="1" t="s">
        <v>9</v>
      </c>
      <c r="B51" s="4">
        <v>1</v>
      </c>
      <c r="C51" s="4">
        <v>24</v>
      </c>
      <c r="D51" s="8">
        <v>149</v>
      </c>
      <c r="E51" s="4">
        <f>D51-C51</f>
        <v>125</v>
      </c>
      <c r="F51" s="4"/>
      <c r="G51" s="39"/>
      <c r="H51" s="39"/>
      <c r="I51" s="39"/>
      <c r="J51" s="39"/>
      <c r="K51" s="39"/>
      <c r="L51" s="39"/>
      <c r="M51" s="39"/>
      <c r="N51" s="39"/>
      <c r="O51" s="39"/>
    </row>
    <row r="52" spans="1:15" x14ac:dyDescent="0.2">
      <c r="A52" s="1" t="s">
        <v>10</v>
      </c>
      <c r="B52" s="4">
        <v>7</v>
      </c>
      <c r="C52" s="4">
        <v>26</v>
      </c>
      <c r="D52" s="8">
        <v>154</v>
      </c>
      <c r="E52" s="4">
        <f t="shared" ref="E52:E54" si="2">D52-C52</f>
        <v>128</v>
      </c>
      <c r="F52" s="4"/>
      <c r="G52" s="4"/>
      <c r="H52" s="4"/>
      <c r="I52" s="4"/>
      <c r="J52" s="4"/>
      <c r="K52" s="4"/>
      <c r="L52" s="4"/>
      <c r="M52" s="4"/>
      <c r="N52" s="4"/>
      <c r="O52" s="4"/>
    </row>
    <row r="53" spans="1:15" x14ac:dyDescent="0.2">
      <c r="A53" s="1" t="s">
        <v>11</v>
      </c>
      <c r="B53" s="4"/>
      <c r="C53" s="4"/>
      <c r="D53" s="8"/>
      <c r="E53" s="4">
        <f t="shared" si="2"/>
        <v>0</v>
      </c>
      <c r="F53" s="4"/>
      <c r="G53" s="39"/>
      <c r="H53" s="39"/>
      <c r="I53" s="39"/>
      <c r="J53" s="39"/>
      <c r="K53" s="39"/>
      <c r="L53" s="39"/>
      <c r="M53" s="39"/>
      <c r="N53" s="39"/>
      <c r="O53" s="39"/>
    </row>
    <row r="54" spans="1:15" x14ac:dyDescent="0.2">
      <c r="A54" s="9" t="s">
        <v>12</v>
      </c>
      <c r="B54" s="3">
        <v>46</v>
      </c>
      <c r="C54" s="3">
        <v>68</v>
      </c>
      <c r="D54" s="10">
        <v>185</v>
      </c>
      <c r="E54" s="4">
        <f t="shared" si="2"/>
        <v>117</v>
      </c>
      <c r="F54" s="4"/>
      <c r="G54" s="39"/>
      <c r="H54" s="39"/>
      <c r="I54" s="39"/>
      <c r="J54" s="39"/>
      <c r="K54" s="39"/>
      <c r="L54" s="39"/>
      <c r="M54" s="39"/>
      <c r="N54" s="39"/>
      <c r="O54" s="39"/>
    </row>
    <row r="56" spans="1:15" x14ac:dyDescent="0.2">
      <c r="A56" s="32" t="s">
        <v>128</v>
      </c>
      <c r="B56" s="32"/>
      <c r="C56" s="32"/>
    </row>
    <row r="57" spans="1:15" x14ac:dyDescent="0.2">
      <c r="A57" s="2" t="s">
        <v>8</v>
      </c>
      <c r="B57" s="5" t="s">
        <v>1</v>
      </c>
      <c r="C57" s="5" t="s">
        <v>2</v>
      </c>
      <c r="D57" s="6" t="s">
        <v>3</v>
      </c>
      <c r="E57" s="7" t="s">
        <v>4</v>
      </c>
      <c r="F57" s="7" t="s">
        <v>5</v>
      </c>
      <c r="G57" s="40" t="s">
        <v>6</v>
      </c>
      <c r="H57" s="40"/>
      <c r="I57" s="40"/>
      <c r="J57" s="40"/>
      <c r="K57" s="40"/>
      <c r="L57" s="40"/>
      <c r="M57" s="40"/>
      <c r="N57" s="40"/>
      <c r="O57" s="40"/>
    </row>
    <row r="58" spans="1:15" x14ac:dyDescent="0.2">
      <c r="A58" s="1" t="s">
        <v>9</v>
      </c>
      <c r="B58" s="4">
        <v>1</v>
      </c>
      <c r="C58" s="4">
        <v>23</v>
      </c>
      <c r="D58" s="8">
        <v>177</v>
      </c>
      <c r="E58" s="4">
        <f>D58-C58</f>
        <v>154</v>
      </c>
      <c r="F58" s="4"/>
      <c r="G58" s="39"/>
      <c r="H58" s="39"/>
      <c r="I58" s="39"/>
      <c r="J58" s="39"/>
      <c r="K58" s="39"/>
      <c r="L58" s="39"/>
      <c r="M58" s="39"/>
      <c r="N58" s="39"/>
      <c r="O58" s="39"/>
    </row>
    <row r="59" spans="1:15" x14ac:dyDescent="0.2">
      <c r="A59" s="1" t="s">
        <v>10</v>
      </c>
      <c r="B59" s="4">
        <v>33</v>
      </c>
      <c r="C59" s="4">
        <v>53</v>
      </c>
      <c r="D59" s="8">
        <v>182</v>
      </c>
      <c r="E59" s="4">
        <f t="shared" ref="E59:E62" si="3">D59-C59</f>
        <v>129</v>
      </c>
      <c r="F59" s="4"/>
      <c r="G59" s="4"/>
      <c r="H59" s="4"/>
      <c r="I59" s="4"/>
      <c r="J59" s="4"/>
      <c r="K59" s="4"/>
      <c r="L59" s="4"/>
      <c r="M59" s="4"/>
      <c r="N59" s="4"/>
      <c r="O59" s="4"/>
    </row>
    <row r="60" spans="1:15" x14ac:dyDescent="0.2">
      <c r="A60" s="1" t="s">
        <v>11</v>
      </c>
      <c r="B60" s="4">
        <v>56</v>
      </c>
      <c r="C60" s="4">
        <v>75</v>
      </c>
      <c r="D60" s="8">
        <v>177</v>
      </c>
      <c r="E60" s="4">
        <f>D60-C60</f>
        <v>102</v>
      </c>
      <c r="F60" s="4"/>
      <c r="G60" s="4"/>
      <c r="H60" s="4"/>
      <c r="I60" s="4"/>
      <c r="J60" s="4"/>
      <c r="K60" s="4"/>
      <c r="L60" s="4"/>
      <c r="M60" s="4"/>
      <c r="N60" s="4"/>
      <c r="O60" s="4"/>
    </row>
    <row r="61" spans="1:15" x14ac:dyDescent="0.2">
      <c r="A61" s="4" t="s">
        <v>12</v>
      </c>
      <c r="B61" s="4">
        <v>24</v>
      </c>
      <c r="C61" s="4">
        <v>39</v>
      </c>
      <c r="D61" s="8">
        <v>150</v>
      </c>
      <c r="E61" s="4">
        <f t="shared" si="3"/>
        <v>111</v>
      </c>
      <c r="F61" s="4"/>
      <c r="G61" s="39"/>
      <c r="H61" s="39"/>
      <c r="I61" s="39"/>
      <c r="J61" s="39"/>
      <c r="K61" s="39"/>
      <c r="L61" s="39"/>
      <c r="M61" s="39"/>
      <c r="N61" s="39"/>
      <c r="O61" s="39"/>
    </row>
    <row r="62" spans="1:15" x14ac:dyDescent="0.2">
      <c r="A62" s="9" t="s">
        <v>137</v>
      </c>
      <c r="B62" s="3">
        <v>1</v>
      </c>
      <c r="C62" s="3">
        <v>20</v>
      </c>
      <c r="D62" s="10">
        <v>140</v>
      </c>
      <c r="E62" s="4">
        <f t="shared" si="3"/>
        <v>120</v>
      </c>
      <c r="F62" s="4"/>
      <c r="G62" s="39"/>
      <c r="H62" s="39"/>
      <c r="I62" s="39"/>
      <c r="J62" s="39"/>
      <c r="K62" s="39"/>
      <c r="L62" s="39"/>
      <c r="M62" s="39"/>
      <c r="N62" s="39"/>
      <c r="O62" s="39"/>
    </row>
    <row r="65" spans="1:6" x14ac:dyDescent="0.2">
      <c r="A65" s="32" t="s">
        <v>154</v>
      </c>
      <c r="B65" s="32"/>
      <c r="C65" s="32"/>
    </row>
    <row r="66" spans="1:6" x14ac:dyDescent="0.2">
      <c r="A66" s="2" t="s">
        <v>8</v>
      </c>
      <c r="B66" s="5" t="s">
        <v>1</v>
      </c>
      <c r="C66" s="5" t="s">
        <v>2</v>
      </c>
      <c r="D66" s="6" t="s">
        <v>3</v>
      </c>
      <c r="E66" s="7" t="s">
        <v>4</v>
      </c>
      <c r="F66" s="7" t="s">
        <v>5</v>
      </c>
    </row>
    <row r="67" spans="1:6" x14ac:dyDescent="0.2">
      <c r="A67" s="1" t="s">
        <v>9</v>
      </c>
      <c r="B67" s="4">
        <v>53</v>
      </c>
      <c r="C67" s="4">
        <v>70</v>
      </c>
      <c r="D67" s="8">
        <v>206</v>
      </c>
      <c r="E67" s="4">
        <f>D67-C67</f>
        <v>136</v>
      </c>
      <c r="F67" s="4"/>
    </row>
    <row r="68" spans="1:6" x14ac:dyDescent="0.2">
      <c r="A68" s="1" t="s">
        <v>10</v>
      </c>
      <c r="B68" s="4">
        <v>83</v>
      </c>
      <c r="C68" s="4">
        <v>99</v>
      </c>
      <c r="D68" s="8">
        <v>209</v>
      </c>
      <c r="E68" s="4">
        <f t="shared" ref="E68" si="4">D68-C68</f>
        <v>110</v>
      </c>
      <c r="F68" s="4"/>
    </row>
    <row r="69" spans="1:6" x14ac:dyDescent="0.2">
      <c r="A69" s="1" t="s">
        <v>11</v>
      </c>
      <c r="B69" s="4">
        <v>87</v>
      </c>
      <c r="C69" s="4">
        <v>102</v>
      </c>
      <c r="D69" s="8">
        <v>268</v>
      </c>
      <c r="E69" s="4">
        <f>D69-C69</f>
        <v>166</v>
      </c>
      <c r="F69" s="4"/>
    </row>
    <row r="70" spans="1:6" x14ac:dyDescent="0.2">
      <c r="A70" s="4"/>
      <c r="B70" s="4"/>
      <c r="C70" s="4"/>
      <c r="D70" s="8"/>
      <c r="E70" s="4"/>
      <c r="F70" s="4"/>
    </row>
    <row r="71" spans="1:6" x14ac:dyDescent="0.2">
      <c r="A71" s="9"/>
      <c r="B71" s="3"/>
      <c r="C71" s="3"/>
      <c r="D71" s="10"/>
      <c r="E71" s="4"/>
      <c r="F71" s="4"/>
    </row>
    <row r="73" spans="1:6" x14ac:dyDescent="0.2">
      <c r="A73" s="32" t="s">
        <v>162</v>
      </c>
      <c r="B73" s="32"/>
      <c r="C73" s="32"/>
    </row>
    <row r="74" spans="1:6" x14ac:dyDescent="0.2">
      <c r="A74" s="2" t="s">
        <v>8</v>
      </c>
      <c r="B74" s="5" t="s">
        <v>1</v>
      </c>
      <c r="C74" s="5" t="s">
        <v>2</v>
      </c>
      <c r="D74" s="6" t="s">
        <v>3</v>
      </c>
      <c r="E74" s="7" t="s">
        <v>4</v>
      </c>
      <c r="F74" s="7" t="s">
        <v>5</v>
      </c>
    </row>
    <row r="75" spans="1:6" x14ac:dyDescent="0.2">
      <c r="A75" s="1" t="s">
        <v>9</v>
      </c>
      <c r="B75" s="4">
        <v>37</v>
      </c>
      <c r="C75" s="4">
        <v>57</v>
      </c>
      <c r="D75" s="8">
        <v>189</v>
      </c>
      <c r="E75" s="4">
        <f>D75-C75</f>
        <v>132</v>
      </c>
      <c r="F75" s="4"/>
    </row>
    <row r="76" spans="1:6" x14ac:dyDescent="0.2">
      <c r="A76" s="1" t="s">
        <v>10</v>
      </c>
      <c r="B76" s="4">
        <v>1</v>
      </c>
      <c r="C76" s="4">
        <v>33</v>
      </c>
      <c r="D76" s="8">
        <v>140</v>
      </c>
      <c r="E76" s="4">
        <f t="shared" ref="E76:E78" si="5">D76-C76</f>
        <v>107</v>
      </c>
      <c r="F76" s="4"/>
    </row>
    <row r="77" spans="1:6" x14ac:dyDescent="0.2">
      <c r="A77" s="1" t="s">
        <v>11</v>
      </c>
      <c r="B77" s="4">
        <v>64</v>
      </c>
      <c r="C77" s="4">
        <v>93</v>
      </c>
      <c r="D77" s="8">
        <v>190</v>
      </c>
      <c r="E77" s="4">
        <f t="shared" si="5"/>
        <v>97</v>
      </c>
      <c r="F77" s="4"/>
    </row>
    <row r="78" spans="1:6" x14ac:dyDescent="0.2">
      <c r="A78" s="1" t="s">
        <v>12</v>
      </c>
      <c r="B78" s="4">
        <v>51</v>
      </c>
      <c r="C78" s="4">
        <v>64</v>
      </c>
      <c r="D78" s="8">
        <v>160</v>
      </c>
      <c r="E78" s="4">
        <f t="shared" si="5"/>
        <v>96</v>
      </c>
      <c r="F78" s="4"/>
    </row>
    <row r="79" spans="1:6" x14ac:dyDescent="0.2">
      <c r="A79" s="9"/>
      <c r="B79" s="3"/>
      <c r="C79" s="3"/>
      <c r="D79" s="10"/>
      <c r="E79" s="4"/>
      <c r="F79" s="4"/>
    </row>
    <row r="82" spans="1:6" x14ac:dyDescent="0.2">
      <c r="A82" s="32" t="s">
        <v>163</v>
      </c>
      <c r="B82" s="32"/>
      <c r="C82" s="32"/>
    </row>
    <row r="83" spans="1:6" x14ac:dyDescent="0.2">
      <c r="A83" s="2" t="s">
        <v>8</v>
      </c>
      <c r="B83" s="5" t="s">
        <v>1</v>
      </c>
      <c r="C83" s="5" t="s">
        <v>2</v>
      </c>
      <c r="D83" s="6" t="s">
        <v>3</v>
      </c>
      <c r="E83" s="7" t="s">
        <v>4</v>
      </c>
      <c r="F83" s="7" t="s">
        <v>5</v>
      </c>
    </row>
    <row r="84" spans="1:6" x14ac:dyDescent="0.2">
      <c r="A84" s="1" t="s">
        <v>9</v>
      </c>
      <c r="B84" s="4">
        <v>13</v>
      </c>
      <c r="C84" s="4">
        <v>24</v>
      </c>
      <c r="D84" s="8">
        <v>125</v>
      </c>
      <c r="E84" s="4">
        <f>D84-C84</f>
        <v>101</v>
      </c>
      <c r="F84" s="4"/>
    </row>
    <row r="85" spans="1:6" x14ac:dyDescent="0.2">
      <c r="A85" s="1" t="s">
        <v>10</v>
      </c>
      <c r="B85" s="4">
        <v>36</v>
      </c>
      <c r="C85" s="4">
        <v>50</v>
      </c>
      <c r="D85" s="8">
        <v>170</v>
      </c>
      <c r="E85" s="4">
        <f t="shared" ref="E85:E87" si="6">D85-C85</f>
        <v>120</v>
      </c>
      <c r="F85" s="4"/>
    </row>
    <row r="86" spans="1:6" x14ac:dyDescent="0.2">
      <c r="A86" s="1" t="s">
        <v>11</v>
      </c>
      <c r="B86" s="4">
        <v>17</v>
      </c>
      <c r="C86" s="4">
        <v>29</v>
      </c>
      <c r="D86" s="8">
        <v>160</v>
      </c>
      <c r="E86" s="4">
        <f t="shared" si="6"/>
        <v>131</v>
      </c>
      <c r="F86" s="4"/>
    </row>
    <row r="87" spans="1:6" x14ac:dyDescent="0.2">
      <c r="A87" s="1" t="s">
        <v>12</v>
      </c>
      <c r="B87" s="4"/>
      <c r="C87" s="4"/>
      <c r="D87" s="8"/>
      <c r="E87" s="4">
        <f t="shared" si="6"/>
        <v>0</v>
      </c>
      <c r="F87" s="4"/>
    </row>
    <row r="88" spans="1:6" x14ac:dyDescent="0.2">
      <c r="A88" s="9"/>
      <c r="B88" s="3"/>
      <c r="C88" s="3"/>
      <c r="D88" s="10"/>
      <c r="E88" s="4"/>
      <c r="F88" s="4"/>
    </row>
    <row r="91" spans="1:6" x14ac:dyDescent="0.2">
      <c r="A91" s="32" t="s">
        <v>188</v>
      </c>
      <c r="B91" s="32"/>
      <c r="C91" s="32"/>
    </row>
    <row r="92" spans="1:6" x14ac:dyDescent="0.2">
      <c r="A92" s="2" t="s">
        <v>8</v>
      </c>
      <c r="B92" s="5" t="s">
        <v>1</v>
      </c>
      <c r="C92" s="5" t="s">
        <v>2</v>
      </c>
      <c r="D92" s="6" t="s">
        <v>3</v>
      </c>
      <c r="E92" s="7" t="s">
        <v>4</v>
      </c>
      <c r="F92" s="7" t="s">
        <v>5</v>
      </c>
    </row>
    <row r="93" spans="1:6" x14ac:dyDescent="0.2">
      <c r="A93" s="1" t="s">
        <v>9</v>
      </c>
      <c r="B93" s="4">
        <v>68</v>
      </c>
      <c r="C93" s="4">
        <v>85</v>
      </c>
      <c r="D93" s="8">
        <v>200</v>
      </c>
      <c r="E93" s="4">
        <f>D93-C93</f>
        <v>115</v>
      </c>
      <c r="F93" s="4"/>
    </row>
    <row r="94" spans="1:6" x14ac:dyDescent="0.2">
      <c r="A94" s="1" t="s">
        <v>10</v>
      </c>
      <c r="B94" s="4">
        <v>17</v>
      </c>
      <c r="C94" s="4">
        <v>44</v>
      </c>
      <c r="D94" s="8">
        <v>139</v>
      </c>
      <c r="E94" s="4">
        <f t="shared" ref="E94:E96" si="7">D94-C94</f>
        <v>95</v>
      </c>
      <c r="F94" s="4"/>
    </row>
    <row r="95" spans="1:6" x14ac:dyDescent="0.2">
      <c r="A95" s="1" t="s">
        <v>11</v>
      </c>
      <c r="B95" s="4">
        <v>30</v>
      </c>
      <c r="C95" s="4">
        <v>48</v>
      </c>
      <c r="D95" s="8">
        <v>168</v>
      </c>
      <c r="E95" s="4">
        <f t="shared" si="7"/>
        <v>120</v>
      </c>
      <c r="F95" s="4"/>
    </row>
    <row r="96" spans="1:6" x14ac:dyDescent="0.2">
      <c r="A96" s="1" t="s">
        <v>12</v>
      </c>
      <c r="B96" s="4" t="s">
        <v>202</v>
      </c>
      <c r="C96" s="4">
        <v>25</v>
      </c>
      <c r="D96" s="8">
        <v>120</v>
      </c>
      <c r="E96" s="4">
        <f t="shared" si="7"/>
        <v>95</v>
      </c>
      <c r="F96" s="4"/>
    </row>
    <row r="97" spans="1:6" x14ac:dyDescent="0.2">
      <c r="A97" s="9"/>
      <c r="B97" s="3"/>
      <c r="C97" s="3"/>
      <c r="D97" s="10"/>
      <c r="E97" s="4"/>
      <c r="F97" s="4"/>
    </row>
    <row r="100" spans="1:6" x14ac:dyDescent="0.2">
      <c r="A100" s="32" t="s">
        <v>220</v>
      </c>
      <c r="B100" s="32"/>
      <c r="C100" s="32"/>
    </row>
    <row r="101" spans="1:6" x14ac:dyDescent="0.2">
      <c r="A101" s="2" t="s">
        <v>8</v>
      </c>
      <c r="B101" s="5" t="s">
        <v>1</v>
      </c>
      <c r="C101" s="5" t="s">
        <v>2</v>
      </c>
      <c r="D101" s="6" t="s">
        <v>3</v>
      </c>
      <c r="E101" s="7" t="s">
        <v>4</v>
      </c>
      <c r="F101" s="7" t="s">
        <v>5</v>
      </c>
    </row>
    <row r="102" spans="1:6" x14ac:dyDescent="0.2">
      <c r="A102" s="1" t="s">
        <v>9</v>
      </c>
      <c r="B102" s="4">
        <v>52</v>
      </c>
      <c r="C102" s="4">
        <v>68</v>
      </c>
      <c r="D102" s="8">
        <v>210</v>
      </c>
      <c r="E102" s="4">
        <f>D102-C102</f>
        <v>142</v>
      </c>
      <c r="F102" s="4"/>
    </row>
    <row r="103" spans="1:6" x14ac:dyDescent="0.2">
      <c r="A103" s="1" t="s">
        <v>10</v>
      </c>
      <c r="B103" s="4">
        <v>17</v>
      </c>
      <c r="C103" s="4">
        <v>33</v>
      </c>
      <c r="D103" s="8">
        <v>150</v>
      </c>
      <c r="E103" s="4">
        <f t="shared" ref="E103:E105" si="8">D103-C103</f>
        <v>117</v>
      </c>
      <c r="F103" s="4"/>
    </row>
    <row r="104" spans="1:6" x14ac:dyDescent="0.2">
      <c r="A104" s="1" t="s">
        <v>11</v>
      </c>
      <c r="B104" s="4">
        <v>15</v>
      </c>
      <c r="C104" s="4">
        <v>30</v>
      </c>
      <c r="D104" s="8">
        <v>168</v>
      </c>
      <c r="E104" s="4">
        <f t="shared" si="8"/>
        <v>138</v>
      </c>
      <c r="F104" s="4"/>
    </row>
    <row r="105" spans="1:6" x14ac:dyDescent="0.2">
      <c r="A105" s="1" t="s">
        <v>12</v>
      </c>
      <c r="B105" s="4"/>
      <c r="C105" s="4"/>
      <c r="D105" s="8"/>
      <c r="E105" s="4">
        <f t="shared" si="8"/>
        <v>0</v>
      </c>
      <c r="F105" s="4"/>
    </row>
    <row r="106" spans="1:6" x14ac:dyDescent="0.2">
      <c r="A106" s="9"/>
      <c r="B106" s="3"/>
      <c r="C106" s="3"/>
      <c r="D106" s="10"/>
      <c r="E106" s="4"/>
      <c r="F106" s="4"/>
    </row>
    <row r="109" spans="1:6" x14ac:dyDescent="0.2">
      <c r="A109" s="32" t="s">
        <v>221</v>
      </c>
      <c r="B109" s="32"/>
      <c r="C109" s="32"/>
    </row>
    <row r="110" spans="1:6" x14ac:dyDescent="0.2">
      <c r="A110" s="2" t="s">
        <v>8</v>
      </c>
      <c r="B110" s="5" t="s">
        <v>1</v>
      </c>
      <c r="C110" s="5" t="s">
        <v>2</v>
      </c>
      <c r="D110" s="6" t="s">
        <v>3</v>
      </c>
      <c r="E110" s="7" t="s">
        <v>4</v>
      </c>
      <c r="F110" s="7" t="s">
        <v>5</v>
      </c>
    </row>
    <row r="111" spans="1:6" x14ac:dyDescent="0.2">
      <c r="A111" s="1" t="s">
        <v>9</v>
      </c>
      <c r="B111" s="4">
        <v>1</v>
      </c>
      <c r="C111" s="4">
        <v>28</v>
      </c>
      <c r="D111" s="8">
        <v>133</v>
      </c>
      <c r="E111" s="4">
        <f>D111-C111</f>
        <v>105</v>
      </c>
      <c r="F111" s="4"/>
    </row>
    <row r="112" spans="1:6" x14ac:dyDescent="0.2">
      <c r="A112" s="1" t="s">
        <v>10</v>
      </c>
      <c r="B112" s="4">
        <v>44</v>
      </c>
      <c r="C112" s="4">
        <v>64</v>
      </c>
      <c r="D112" s="8">
        <v>177</v>
      </c>
      <c r="E112" s="4">
        <f t="shared" ref="E112:E114" si="9">D112-C112</f>
        <v>113</v>
      </c>
      <c r="F112" s="4"/>
    </row>
    <row r="113" spans="1:6" x14ac:dyDescent="0.2">
      <c r="A113" s="1" t="s">
        <v>11</v>
      </c>
      <c r="B113" s="4">
        <v>84</v>
      </c>
      <c r="C113" s="4">
        <v>108</v>
      </c>
      <c r="D113" s="8">
        <v>240</v>
      </c>
      <c r="E113" s="4">
        <f t="shared" si="9"/>
        <v>132</v>
      </c>
      <c r="F113" s="4"/>
    </row>
    <row r="114" spans="1:6" x14ac:dyDescent="0.2">
      <c r="A114" s="1" t="s">
        <v>12</v>
      </c>
      <c r="B114" s="4">
        <v>29</v>
      </c>
      <c r="C114" s="4">
        <v>43</v>
      </c>
      <c r="D114" s="8">
        <v>170</v>
      </c>
      <c r="E114" s="4">
        <f t="shared" si="9"/>
        <v>127</v>
      </c>
      <c r="F114" s="4"/>
    </row>
    <row r="115" spans="1:6" x14ac:dyDescent="0.2">
      <c r="A115" s="9"/>
      <c r="B115" s="3"/>
      <c r="C115" s="3"/>
      <c r="D115" s="10"/>
      <c r="E115" s="4"/>
      <c r="F115" s="4"/>
    </row>
    <row r="118" spans="1:6" x14ac:dyDescent="0.2">
      <c r="A118" s="32" t="s">
        <v>279</v>
      </c>
      <c r="B118" s="32"/>
      <c r="C118" s="32"/>
    </row>
    <row r="119" spans="1:6" x14ac:dyDescent="0.2">
      <c r="A119" s="2" t="s">
        <v>8</v>
      </c>
      <c r="B119" s="5" t="s">
        <v>1</v>
      </c>
      <c r="C119" s="5" t="s">
        <v>2</v>
      </c>
      <c r="D119" s="6" t="s">
        <v>3</v>
      </c>
      <c r="E119" s="7" t="s">
        <v>4</v>
      </c>
      <c r="F119" s="7" t="s">
        <v>5</v>
      </c>
    </row>
    <row r="120" spans="1:6" x14ac:dyDescent="0.2">
      <c r="A120" s="1" t="s">
        <v>9</v>
      </c>
      <c r="B120" s="4">
        <v>38</v>
      </c>
      <c r="C120" s="4">
        <v>50</v>
      </c>
      <c r="D120" s="8">
        <v>195</v>
      </c>
      <c r="E120" s="4">
        <f>D120-C120</f>
        <v>145</v>
      </c>
      <c r="F120" s="4"/>
    </row>
    <row r="121" spans="1:6" x14ac:dyDescent="0.2">
      <c r="A121" s="1" t="s">
        <v>10</v>
      </c>
      <c r="B121" s="4">
        <v>9</v>
      </c>
      <c r="C121" s="4">
        <v>25</v>
      </c>
      <c r="D121" s="8">
        <v>172</v>
      </c>
      <c r="E121" s="4">
        <f t="shared" ref="E121:E123" si="10">D121-C121</f>
        <v>147</v>
      </c>
      <c r="F121" s="4"/>
    </row>
    <row r="122" spans="1:6" x14ac:dyDescent="0.2">
      <c r="A122" s="1" t="s">
        <v>11</v>
      </c>
      <c r="B122" s="4">
        <v>12</v>
      </c>
      <c r="C122" s="4">
        <v>23</v>
      </c>
      <c r="D122" s="8">
        <v>141</v>
      </c>
      <c r="E122" s="4">
        <f t="shared" si="10"/>
        <v>118</v>
      </c>
      <c r="F122" s="4"/>
    </row>
    <row r="123" spans="1:6" x14ac:dyDescent="0.2">
      <c r="A123" s="1" t="s">
        <v>12</v>
      </c>
      <c r="B123" s="4">
        <v>90</v>
      </c>
      <c r="C123" s="4">
        <v>103</v>
      </c>
      <c r="D123" s="8">
        <v>233</v>
      </c>
      <c r="E123" s="4">
        <f t="shared" si="10"/>
        <v>130</v>
      </c>
      <c r="F123" s="4"/>
    </row>
    <row r="124" spans="1:6" x14ac:dyDescent="0.2">
      <c r="A124" s="9"/>
      <c r="B124" s="3"/>
      <c r="C124" s="3"/>
      <c r="D124" s="10"/>
      <c r="E124" s="4"/>
      <c r="F124" s="4"/>
    </row>
    <row r="126" spans="1:6" x14ac:dyDescent="0.2">
      <c r="A126" s="32" t="s">
        <v>280</v>
      </c>
      <c r="B126" s="32"/>
      <c r="C126" s="32"/>
    </row>
    <row r="127" spans="1:6" x14ac:dyDescent="0.2">
      <c r="A127" s="2" t="s">
        <v>8</v>
      </c>
      <c r="B127" s="5" t="s">
        <v>1</v>
      </c>
      <c r="C127" s="5" t="s">
        <v>2</v>
      </c>
      <c r="D127" s="6" t="s">
        <v>3</v>
      </c>
      <c r="E127" s="7" t="s">
        <v>4</v>
      </c>
      <c r="F127" s="7" t="s">
        <v>5</v>
      </c>
    </row>
    <row r="128" spans="1:6" x14ac:dyDescent="0.2">
      <c r="A128" s="1" t="s">
        <v>9</v>
      </c>
      <c r="B128" s="4">
        <v>7</v>
      </c>
      <c r="C128" s="4">
        <v>24</v>
      </c>
      <c r="D128" s="8">
        <v>138</v>
      </c>
      <c r="E128" s="4">
        <f>D128-C128</f>
        <v>114</v>
      </c>
      <c r="F128" s="4"/>
    </row>
    <row r="129" spans="1:6" x14ac:dyDescent="0.2">
      <c r="A129" s="1" t="s">
        <v>10</v>
      </c>
      <c r="B129" s="4">
        <v>3</v>
      </c>
      <c r="C129" s="4">
        <v>17</v>
      </c>
      <c r="D129" s="8">
        <v>163</v>
      </c>
      <c r="E129" s="4">
        <f t="shared" ref="E129:E130" si="11">D129-C129</f>
        <v>146</v>
      </c>
      <c r="F129" s="4"/>
    </row>
    <row r="130" spans="1:6" x14ac:dyDescent="0.2">
      <c r="A130" s="1" t="s">
        <v>11</v>
      </c>
      <c r="B130" s="4">
        <v>73</v>
      </c>
      <c r="C130" s="4">
        <v>88</v>
      </c>
      <c r="D130" s="8">
        <v>219</v>
      </c>
      <c r="E130" s="4">
        <f t="shared" si="11"/>
        <v>131</v>
      </c>
      <c r="F130" s="4"/>
    </row>
    <row r="131" spans="1:6" x14ac:dyDescent="0.2">
      <c r="A131" s="1"/>
      <c r="B131" s="4"/>
      <c r="C131" s="4"/>
      <c r="D131" s="8"/>
      <c r="E131" s="4"/>
      <c r="F131" s="4"/>
    </row>
    <row r="132" spans="1:6" x14ac:dyDescent="0.2">
      <c r="A132" s="9"/>
      <c r="B132" s="3"/>
      <c r="C132" s="3"/>
      <c r="D132" s="10"/>
      <c r="E132" s="4"/>
      <c r="F132" s="4"/>
    </row>
    <row r="135" spans="1:6" x14ac:dyDescent="0.2">
      <c r="A135" s="32" t="s">
        <v>290</v>
      </c>
      <c r="B135" s="32"/>
      <c r="C135" s="32"/>
    </row>
    <row r="136" spans="1:6" x14ac:dyDescent="0.2">
      <c r="A136" s="2" t="s">
        <v>8</v>
      </c>
      <c r="B136" s="5" t="s">
        <v>1</v>
      </c>
      <c r="C136" s="5" t="s">
        <v>2</v>
      </c>
      <c r="D136" s="6" t="s">
        <v>3</v>
      </c>
      <c r="E136" s="7" t="s">
        <v>4</v>
      </c>
      <c r="F136" s="7" t="s">
        <v>5</v>
      </c>
    </row>
    <row r="137" spans="1:6" x14ac:dyDescent="0.2">
      <c r="A137" s="1" t="s">
        <v>9</v>
      </c>
      <c r="B137" s="4">
        <v>8</v>
      </c>
      <c r="C137" s="4">
        <v>24</v>
      </c>
      <c r="D137" s="8">
        <v>155</v>
      </c>
      <c r="E137" s="4">
        <f>D137-C137</f>
        <v>131</v>
      </c>
      <c r="F137" s="4"/>
    </row>
    <row r="138" spans="1:6" x14ac:dyDescent="0.2">
      <c r="A138" s="1" t="s">
        <v>10</v>
      </c>
      <c r="B138" s="4">
        <v>24</v>
      </c>
      <c r="C138" s="4">
        <v>44</v>
      </c>
      <c r="D138" s="8">
        <v>155</v>
      </c>
      <c r="E138" s="4">
        <f t="shared" ref="E138:E139" si="12">D138-C138</f>
        <v>111</v>
      </c>
      <c r="F138" s="4"/>
    </row>
    <row r="139" spans="1:6" x14ac:dyDescent="0.2">
      <c r="A139" s="1" t="s">
        <v>11</v>
      </c>
      <c r="B139" s="4">
        <v>15</v>
      </c>
      <c r="C139" s="4">
        <v>29</v>
      </c>
      <c r="D139" s="8">
        <v>135</v>
      </c>
      <c r="E139" s="4">
        <f t="shared" si="12"/>
        <v>106</v>
      </c>
      <c r="F139" s="4"/>
    </row>
    <row r="140" spans="1:6" x14ac:dyDescent="0.2">
      <c r="A140" s="1"/>
      <c r="B140" s="4"/>
      <c r="C140" s="4"/>
      <c r="D140" s="8"/>
      <c r="E140" s="4"/>
      <c r="F140" s="4"/>
    </row>
    <row r="141" spans="1:6" x14ac:dyDescent="0.2">
      <c r="A141" s="9"/>
      <c r="B141" s="3"/>
      <c r="C141" s="3"/>
      <c r="D141" s="10"/>
      <c r="E141" s="4"/>
      <c r="F141" s="4"/>
    </row>
    <row r="144" spans="1:6" x14ac:dyDescent="0.2">
      <c r="A144" s="32" t="s">
        <v>295</v>
      </c>
      <c r="B144" s="32"/>
      <c r="C144" s="32"/>
    </row>
    <row r="145" spans="1:6" x14ac:dyDescent="0.2">
      <c r="A145" s="2" t="s">
        <v>8</v>
      </c>
      <c r="B145" s="5" t="s">
        <v>1</v>
      </c>
      <c r="C145" s="5" t="s">
        <v>2</v>
      </c>
      <c r="D145" s="6" t="s">
        <v>3</v>
      </c>
      <c r="E145" s="7" t="s">
        <v>4</v>
      </c>
      <c r="F145" s="7" t="s">
        <v>5</v>
      </c>
    </row>
    <row r="146" spans="1:6" x14ac:dyDescent="0.2">
      <c r="A146" s="1" t="s">
        <v>9</v>
      </c>
      <c r="B146" s="4">
        <v>15</v>
      </c>
      <c r="C146" s="4">
        <v>29</v>
      </c>
      <c r="D146" s="8">
        <v>140</v>
      </c>
      <c r="E146" s="4">
        <f>D146-C146</f>
        <v>111</v>
      </c>
      <c r="F146" s="4"/>
    </row>
    <row r="147" spans="1:6" x14ac:dyDescent="0.2">
      <c r="A147" s="1" t="s">
        <v>10</v>
      </c>
      <c r="B147" s="4">
        <v>31</v>
      </c>
      <c r="C147" s="4">
        <v>45</v>
      </c>
      <c r="D147" s="8">
        <v>175</v>
      </c>
      <c r="E147" s="4">
        <f t="shared" ref="E147:E148" si="13">D147-C147</f>
        <v>130</v>
      </c>
      <c r="F147" s="4"/>
    </row>
    <row r="148" spans="1:6" x14ac:dyDescent="0.2">
      <c r="A148" s="1" t="s">
        <v>11</v>
      </c>
      <c r="B148" s="4">
        <v>12</v>
      </c>
      <c r="C148" s="4">
        <v>22</v>
      </c>
      <c r="D148" s="8">
        <v>140</v>
      </c>
      <c r="E148" s="4">
        <f t="shared" si="13"/>
        <v>118</v>
      </c>
      <c r="F148" s="4"/>
    </row>
    <row r="149" spans="1:6" x14ac:dyDescent="0.2">
      <c r="A149" s="1"/>
      <c r="B149" s="4"/>
      <c r="C149" s="4"/>
      <c r="D149" s="8"/>
      <c r="E149" s="4"/>
      <c r="F149" s="4"/>
    </row>
    <row r="150" spans="1:6" x14ac:dyDescent="0.2">
      <c r="A150" s="9"/>
      <c r="B150" s="3"/>
      <c r="C150" s="3"/>
      <c r="D150" s="10"/>
      <c r="E150" s="4"/>
      <c r="F150" s="4"/>
    </row>
    <row r="153" spans="1:6" x14ac:dyDescent="0.2">
      <c r="A153" s="32" t="s">
        <v>307</v>
      </c>
      <c r="B153" s="32"/>
      <c r="C153" s="32"/>
    </row>
    <row r="154" spans="1:6" x14ac:dyDescent="0.2">
      <c r="A154" s="2" t="s">
        <v>8</v>
      </c>
      <c r="B154" s="5" t="s">
        <v>1</v>
      </c>
      <c r="C154" s="5" t="s">
        <v>2</v>
      </c>
      <c r="D154" s="6" t="s">
        <v>3</v>
      </c>
      <c r="E154" s="7" t="s">
        <v>4</v>
      </c>
      <c r="F154" s="7" t="s">
        <v>5</v>
      </c>
    </row>
    <row r="155" spans="1:6" x14ac:dyDescent="0.2">
      <c r="A155" s="1" t="s">
        <v>9</v>
      </c>
      <c r="B155" s="4">
        <v>20</v>
      </c>
      <c r="C155" s="4">
        <v>30</v>
      </c>
      <c r="D155" s="8">
        <v>165</v>
      </c>
      <c r="E155" s="4">
        <f>D155-C155</f>
        <v>135</v>
      </c>
      <c r="F155" s="4"/>
    </row>
    <row r="156" spans="1:6" x14ac:dyDescent="0.2">
      <c r="A156" s="1" t="s">
        <v>10</v>
      </c>
      <c r="B156" s="4">
        <v>11</v>
      </c>
      <c r="C156" s="4">
        <v>24</v>
      </c>
      <c r="D156" s="8">
        <v>125</v>
      </c>
      <c r="E156" s="4">
        <f t="shared" ref="E156:E157" si="14">D156-C156</f>
        <v>101</v>
      </c>
      <c r="F156" s="4"/>
    </row>
    <row r="157" spans="1:6" x14ac:dyDescent="0.2">
      <c r="A157" s="1" t="s">
        <v>11</v>
      </c>
      <c r="B157" s="4">
        <v>3</v>
      </c>
      <c r="C157" s="4">
        <v>18</v>
      </c>
      <c r="D157" s="8">
        <v>130</v>
      </c>
      <c r="E157" s="4">
        <f t="shared" si="14"/>
        <v>112</v>
      </c>
      <c r="F157" s="4"/>
    </row>
    <row r="158" spans="1:6" x14ac:dyDescent="0.2">
      <c r="A158" s="1"/>
      <c r="B158" s="4"/>
      <c r="C158" s="4"/>
      <c r="D158" s="8"/>
      <c r="E158" s="4"/>
      <c r="F158" s="4"/>
    </row>
    <row r="159" spans="1:6" x14ac:dyDescent="0.2">
      <c r="A159" s="9"/>
      <c r="B159" s="3"/>
      <c r="C159" s="3"/>
      <c r="D159" s="10"/>
      <c r="E159" s="4"/>
      <c r="F159" s="4"/>
    </row>
    <row r="162" spans="1:6" x14ac:dyDescent="0.2">
      <c r="A162" s="32" t="s">
        <v>308</v>
      </c>
      <c r="B162" s="32"/>
      <c r="C162" s="32"/>
    </row>
    <row r="163" spans="1:6" x14ac:dyDescent="0.2">
      <c r="A163" s="2" t="s">
        <v>8</v>
      </c>
      <c r="B163" s="5" t="s">
        <v>1</v>
      </c>
      <c r="C163" s="5" t="s">
        <v>2</v>
      </c>
      <c r="D163" s="6" t="s">
        <v>3</v>
      </c>
      <c r="E163" s="7" t="s">
        <v>4</v>
      </c>
      <c r="F163" s="7" t="s">
        <v>5</v>
      </c>
    </row>
    <row r="164" spans="1:6" x14ac:dyDescent="0.2">
      <c r="A164" s="1" t="s">
        <v>9</v>
      </c>
      <c r="B164" s="4">
        <v>17</v>
      </c>
      <c r="C164" s="4">
        <v>35</v>
      </c>
      <c r="D164" s="8">
        <v>120</v>
      </c>
      <c r="E164" s="4">
        <f>D164-C164</f>
        <v>85</v>
      </c>
      <c r="F164" s="4"/>
    </row>
    <row r="165" spans="1:6" x14ac:dyDescent="0.2">
      <c r="A165" s="1" t="s">
        <v>10</v>
      </c>
      <c r="B165" s="4">
        <v>8</v>
      </c>
      <c r="C165" s="4">
        <v>25</v>
      </c>
      <c r="D165" s="8">
        <v>110</v>
      </c>
      <c r="E165" s="4">
        <f t="shared" ref="E165:E166" si="15">D165-C165</f>
        <v>85</v>
      </c>
      <c r="F165" s="4"/>
    </row>
    <row r="166" spans="1:6" x14ac:dyDescent="0.2">
      <c r="A166" s="1" t="s">
        <v>11</v>
      </c>
      <c r="B166" s="4">
        <v>14</v>
      </c>
      <c r="C166" s="4">
        <v>26</v>
      </c>
      <c r="D166" s="8">
        <v>122</v>
      </c>
      <c r="E166" s="4">
        <f t="shared" si="15"/>
        <v>96</v>
      </c>
      <c r="F166" s="4"/>
    </row>
    <row r="167" spans="1:6" x14ac:dyDescent="0.2">
      <c r="A167" s="1"/>
      <c r="B167" s="4"/>
      <c r="C167" s="4"/>
      <c r="D167" s="8"/>
      <c r="E167" s="4"/>
      <c r="F167" s="4"/>
    </row>
    <row r="168" spans="1:6" x14ac:dyDescent="0.2">
      <c r="A168" s="9"/>
      <c r="B168" s="3"/>
      <c r="C168" s="3"/>
      <c r="D168" s="10"/>
      <c r="E168" s="4"/>
      <c r="F168" s="4"/>
    </row>
    <row r="171" spans="1:6" x14ac:dyDescent="0.2">
      <c r="A171" t="s">
        <v>326</v>
      </c>
    </row>
    <row r="172" spans="1:6" x14ac:dyDescent="0.2">
      <c r="A172" s="2" t="s">
        <v>8</v>
      </c>
      <c r="B172" s="5" t="s">
        <v>1</v>
      </c>
      <c r="C172" s="5" t="s">
        <v>2</v>
      </c>
      <c r="D172" s="6" t="s">
        <v>3</v>
      </c>
      <c r="E172" s="7" t="s">
        <v>4</v>
      </c>
      <c r="F172" s="7" t="s">
        <v>5</v>
      </c>
    </row>
    <row r="173" spans="1:6" x14ac:dyDescent="0.2">
      <c r="A173" s="1" t="s">
        <v>9</v>
      </c>
      <c r="B173" s="4">
        <v>45</v>
      </c>
      <c r="C173" s="4">
        <v>55</v>
      </c>
      <c r="D173" s="8">
        <v>150</v>
      </c>
      <c r="E173" s="4">
        <f>D173-C173</f>
        <v>95</v>
      </c>
      <c r="F173" s="4"/>
    </row>
    <row r="174" spans="1:6" x14ac:dyDescent="0.2">
      <c r="A174" s="1" t="s">
        <v>10</v>
      </c>
      <c r="B174" s="4">
        <v>37</v>
      </c>
      <c r="C174" s="4">
        <v>46</v>
      </c>
      <c r="D174" s="8">
        <v>150</v>
      </c>
      <c r="E174" s="4">
        <f t="shared" ref="E174:E175" si="16">D174-C174</f>
        <v>104</v>
      </c>
      <c r="F174" s="4"/>
    </row>
    <row r="175" spans="1:6" x14ac:dyDescent="0.2">
      <c r="A175" s="1" t="s">
        <v>11</v>
      </c>
      <c r="B175" s="4">
        <v>81</v>
      </c>
      <c r="C175" s="4">
        <v>92</v>
      </c>
      <c r="D175" s="8">
        <v>203</v>
      </c>
      <c r="E175" s="4">
        <f t="shared" si="16"/>
        <v>111</v>
      </c>
      <c r="F175" s="4"/>
    </row>
    <row r="176" spans="1:6" x14ac:dyDescent="0.2">
      <c r="A176" s="1"/>
      <c r="B176" s="4"/>
      <c r="C176" s="4"/>
      <c r="D176" s="8"/>
      <c r="E176" s="4"/>
      <c r="F176" s="4"/>
    </row>
    <row r="177" spans="1:6" x14ac:dyDescent="0.2">
      <c r="A177" s="9"/>
      <c r="B177" s="3"/>
      <c r="C177" s="3"/>
      <c r="D177" s="10"/>
      <c r="E177" s="4"/>
      <c r="F177" s="4"/>
    </row>
    <row r="180" spans="1:6" x14ac:dyDescent="0.2">
      <c r="A180" t="s">
        <v>333</v>
      </c>
    </row>
    <row r="181" spans="1:6" x14ac:dyDescent="0.2">
      <c r="A181" s="2" t="s">
        <v>8</v>
      </c>
      <c r="B181" s="5" t="s">
        <v>1</v>
      </c>
      <c r="C181" s="5" t="s">
        <v>2</v>
      </c>
      <c r="D181" s="6" t="s">
        <v>3</v>
      </c>
      <c r="E181" s="7" t="s">
        <v>4</v>
      </c>
      <c r="F181" s="7" t="s">
        <v>5</v>
      </c>
    </row>
    <row r="182" spans="1:6" x14ac:dyDescent="0.2">
      <c r="A182" s="1" t="s">
        <v>9</v>
      </c>
      <c r="B182" s="4">
        <v>13</v>
      </c>
      <c r="C182" s="4">
        <v>19</v>
      </c>
      <c r="D182" s="8">
        <v>115</v>
      </c>
      <c r="E182" s="4">
        <f>D182-C182</f>
        <v>96</v>
      </c>
      <c r="F182" s="4"/>
    </row>
    <row r="183" spans="1:6" x14ac:dyDescent="0.2">
      <c r="A183" s="1" t="s">
        <v>10</v>
      </c>
      <c r="B183" s="4">
        <v>22</v>
      </c>
      <c r="C183" s="4">
        <v>47</v>
      </c>
      <c r="D183" s="8">
        <v>125</v>
      </c>
      <c r="E183" s="4">
        <f t="shared" ref="E183:E184" si="17">D183-C183</f>
        <v>78</v>
      </c>
      <c r="F183" s="4"/>
    </row>
    <row r="184" spans="1:6" x14ac:dyDescent="0.2">
      <c r="A184" s="1" t="s">
        <v>11</v>
      </c>
      <c r="B184" s="4">
        <v>80</v>
      </c>
      <c r="C184" s="4">
        <v>108</v>
      </c>
      <c r="D184" s="8">
        <v>200</v>
      </c>
      <c r="E184" s="4">
        <f t="shared" si="17"/>
        <v>92</v>
      </c>
      <c r="F184" s="4"/>
    </row>
    <row r="185" spans="1:6" x14ac:dyDescent="0.2">
      <c r="A185" s="1"/>
      <c r="B185" s="4"/>
      <c r="C185" s="4"/>
      <c r="D185" s="8"/>
      <c r="E185" s="4"/>
      <c r="F185" s="4"/>
    </row>
    <row r="186" spans="1:6" x14ac:dyDescent="0.2">
      <c r="A186" s="9"/>
      <c r="B186" s="3"/>
      <c r="C186" s="3"/>
      <c r="D186" s="10"/>
      <c r="E186" s="4"/>
      <c r="F186" s="4"/>
    </row>
    <row r="190" spans="1:6" x14ac:dyDescent="0.2">
      <c r="A190" t="s">
        <v>334</v>
      </c>
    </row>
    <row r="191" spans="1:6" x14ac:dyDescent="0.2">
      <c r="A191" s="2" t="s">
        <v>8</v>
      </c>
      <c r="B191" s="5" t="s">
        <v>1</v>
      </c>
      <c r="C191" s="5" t="s">
        <v>2</v>
      </c>
      <c r="D191" s="6" t="s">
        <v>3</v>
      </c>
      <c r="E191" s="7" t="s">
        <v>4</v>
      </c>
      <c r="F191" s="7" t="s">
        <v>5</v>
      </c>
    </row>
    <row r="192" spans="1:6" x14ac:dyDescent="0.2">
      <c r="A192" s="1" t="s">
        <v>9</v>
      </c>
      <c r="B192" s="4">
        <v>77</v>
      </c>
      <c r="C192" s="4">
        <v>92</v>
      </c>
      <c r="D192" s="8">
        <v>224</v>
      </c>
      <c r="E192" s="4">
        <f>D192-C192</f>
        <v>132</v>
      </c>
      <c r="F192" s="4"/>
    </row>
    <row r="193" spans="1:6" x14ac:dyDescent="0.2">
      <c r="A193" s="1" t="s">
        <v>10</v>
      </c>
      <c r="B193" s="4">
        <v>0</v>
      </c>
      <c r="C193" s="4">
        <v>16</v>
      </c>
      <c r="D193" s="8">
        <v>125</v>
      </c>
      <c r="E193" s="4">
        <f t="shared" ref="E193:E195" si="18">D193-C193</f>
        <v>109</v>
      </c>
      <c r="F193" s="4"/>
    </row>
    <row r="194" spans="1:6" x14ac:dyDescent="0.2">
      <c r="A194" s="1" t="s">
        <v>11</v>
      </c>
      <c r="B194" s="4">
        <v>43</v>
      </c>
      <c r="C194" s="4">
        <v>56</v>
      </c>
      <c r="D194" s="8">
        <v>129</v>
      </c>
      <c r="E194" s="4">
        <f t="shared" si="18"/>
        <v>73</v>
      </c>
      <c r="F194" s="4"/>
    </row>
    <row r="195" spans="1:6" x14ac:dyDescent="0.2">
      <c r="A195" s="1" t="s">
        <v>12</v>
      </c>
      <c r="B195" s="4">
        <v>20</v>
      </c>
      <c r="C195" s="4">
        <v>30</v>
      </c>
      <c r="D195" s="8">
        <v>140</v>
      </c>
      <c r="E195" s="4">
        <f t="shared" si="18"/>
        <v>110</v>
      </c>
      <c r="F195" s="4"/>
    </row>
    <row r="196" spans="1:6" x14ac:dyDescent="0.2">
      <c r="A196" s="9"/>
      <c r="B196" s="3"/>
      <c r="C196" s="3"/>
      <c r="D196" s="10"/>
      <c r="E196" s="4"/>
      <c r="F196" s="4"/>
    </row>
    <row r="199" spans="1:6" x14ac:dyDescent="0.2">
      <c r="A199" t="s">
        <v>351</v>
      </c>
    </row>
    <row r="200" spans="1:6" x14ac:dyDescent="0.2">
      <c r="A200" s="2" t="s">
        <v>8</v>
      </c>
      <c r="B200" s="5" t="s">
        <v>1</v>
      </c>
      <c r="C200" s="5" t="s">
        <v>2</v>
      </c>
      <c r="D200" s="6" t="s">
        <v>3</v>
      </c>
      <c r="E200" s="7" t="s">
        <v>4</v>
      </c>
      <c r="F200" s="7" t="s">
        <v>5</v>
      </c>
    </row>
    <row r="201" spans="1:6" x14ac:dyDescent="0.2">
      <c r="A201" s="1" t="s">
        <v>9</v>
      </c>
      <c r="B201" s="4">
        <v>31</v>
      </c>
      <c r="C201" s="4">
        <v>40</v>
      </c>
      <c r="D201" s="8">
        <v>143</v>
      </c>
      <c r="E201" s="4">
        <f>D201-C201</f>
        <v>103</v>
      </c>
      <c r="F201" s="4"/>
    </row>
    <row r="202" spans="1:6" x14ac:dyDescent="0.2">
      <c r="A202" s="1" t="s">
        <v>10</v>
      </c>
      <c r="B202" s="4">
        <v>30</v>
      </c>
      <c r="C202" s="4">
        <v>50</v>
      </c>
      <c r="D202" s="8">
        <v>154</v>
      </c>
      <c r="E202" s="4">
        <f t="shared" ref="E202:E204" si="19">D202-C202</f>
        <v>104</v>
      </c>
      <c r="F202" s="4"/>
    </row>
    <row r="203" spans="1:6" x14ac:dyDescent="0.2">
      <c r="A203" s="1" t="s">
        <v>11</v>
      </c>
      <c r="B203" s="4">
        <v>50</v>
      </c>
      <c r="C203" s="4">
        <v>70</v>
      </c>
      <c r="D203" s="8">
        <v>160</v>
      </c>
      <c r="E203" s="4">
        <f t="shared" si="19"/>
        <v>90</v>
      </c>
      <c r="F203" s="4"/>
    </row>
    <row r="204" spans="1:6" x14ac:dyDescent="0.2">
      <c r="A204" s="1" t="s">
        <v>12</v>
      </c>
      <c r="B204" s="4">
        <v>20</v>
      </c>
      <c r="C204" s="4">
        <v>50</v>
      </c>
      <c r="D204" s="8">
        <v>150</v>
      </c>
      <c r="E204" s="4">
        <f t="shared" si="19"/>
        <v>100</v>
      </c>
      <c r="F204" s="4"/>
    </row>
    <row r="205" spans="1:6" x14ac:dyDescent="0.2">
      <c r="A205" s="9"/>
      <c r="B205" s="3"/>
      <c r="C205" s="3"/>
      <c r="D205" s="10"/>
      <c r="E205" s="4"/>
      <c r="F205" s="4"/>
    </row>
    <row r="208" spans="1:6" x14ac:dyDescent="0.2">
      <c r="A208" t="s">
        <v>361</v>
      </c>
    </row>
    <row r="209" spans="1:6" x14ac:dyDescent="0.2">
      <c r="A209" s="2" t="s">
        <v>8</v>
      </c>
      <c r="B209" s="5" t="s">
        <v>1</v>
      </c>
      <c r="C209" s="5" t="s">
        <v>2</v>
      </c>
      <c r="D209" s="6" t="s">
        <v>3</v>
      </c>
      <c r="E209" s="7" t="s">
        <v>4</v>
      </c>
      <c r="F209" s="7" t="s">
        <v>5</v>
      </c>
    </row>
    <row r="210" spans="1:6" x14ac:dyDescent="0.2">
      <c r="A210" s="1" t="s">
        <v>9</v>
      </c>
      <c r="B210" s="4">
        <v>56</v>
      </c>
      <c r="C210" s="4">
        <v>80</v>
      </c>
      <c r="D210" s="8">
        <v>160</v>
      </c>
      <c r="E210" s="4">
        <f>D210-C210</f>
        <v>80</v>
      </c>
      <c r="F210" s="4"/>
    </row>
    <row r="211" spans="1:6" x14ac:dyDescent="0.2">
      <c r="A211" s="1" t="s">
        <v>10</v>
      </c>
      <c r="B211" s="4"/>
      <c r="C211" s="4"/>
      <c r="D211" s="8"/>
      <c r="E211" s="4">
        <f t="shared" ref="E211:E213" si="20">D211-C211</f>
        <v>0</v>
      </c>
      <c r="F211" s="4"/>
    </row>
    <row r="212" spans="1:6" x14ac:dyDescent="0.2">
      <c r="A212" s="1" t="s">
        <v>11</v>
      </c>
      <c r="B212" s="4"/>
      <c r="C212" s="4"/>
      <c r="D212" s="8"/>
      <c r="E212" s="4">
        <f t="shared" si="20"/>
        <v>0</v>
      </c>
      <c r="F212" s="4"/>
    </row>
    <row r="213" spans="1:6" x14ac:dyDescent="0.2">
      <c r="A213" s="1" t="s">
        <v>12</v>
      </c>
      <c r="B213" s="4"/>
      <c r="C213" s="4"/>
      <c r="D213" s="8"/>
      <c r="E213" s="4">
        <f t="shared" si="20"/>
        <v>0</v>
      </c>
      <c r="F213" s="4"/>
    </row>
    <row r="214" spans="1:6" x14ac:dyDescent="0.2">
      <c r="A214" s="9"/>
      <c r="B214" s="3"/>
      <c r="C214" s="3"/>
      <c r="D214" s="10"/>
      <c r="E214" s="4"/>
      <c r="F214" s="4"/>
    </row>
    <row r="218" spans="1:6" x14ac:dyDescent="0.2">
      <c r="A218" t="s">
        <v>374</v>
      </c>
    </row>
    <row r="219" spans="1:6" x14ac:dyDescent="0.2">
      <c r="A219" s="2" t="s">
        <v>8</v>
      </c>
      <c r="B219" s="5" t="s">
        <v>1</v>
      </c>
      <c r="C219" s="5" t="s">
        <v>2</v>
      </c>
      <c r="D219" s="6" t="s">
        <v>3</v>
      </c>
      <c r="E219" s="7" t="s">
        <v>4</v>
      </c>
      <c r="F219" s="7" t="s">
        <v>5</v>
      </c>
    </row>
    <row r="220" spans="1:6" x14ac:dyDescent="0.2">
      <c r="A220" s="1" t="s">
        <v>9</v>
      </c>
      <c r="B220" s="4">
        <v>59</v>
      </c>
      <c r="C220" s="4">
        <v>80</v>
      </c>
      <c r="D220" s="8">
        <v>150</v>
      </c>
      <c r="E220" s="4">
        <f>D220-C220</f>
        <v>70</v>
      </c>
      <c r="F220" s="4"/>
    </row>
    <row r="221" spans="1:6" x14ac:dyDescent="0.2">
      <c r="A221" s="1" t="s">
        <v>10</v>
      </c>
      <c r="B221" s="4">
        <v>78</v>
      </c>
      <c r="C221" s="4">
        <v>95</v>
      </c>
      <c r="D221" s="8">
        <v>245</v>
      </c>
      <c r="E221" s="4">
        <f t="shared" ref="E221:E224" si="21">D221-C221</f>
        <v>150</v>
      </c>
      <c r="F221" s="4"/>
    </row>
    <row r="222" spans="1:6" x14ac:dyDescent="0.2">
      <c r="A222" s="1" t="s">
        <v>11</v>
      </c>
      <c r="B222" s="4">
        <v>40</v>
      </c>
      <c r="C222" s="4">
        <v>50</v>
      </c>
      <c r="D222" s="8">
        <v>175</v>
      </c>
      <c r="E222" s="4">
        <f t="shared" si="21"/>
        <v>125</v>
      </c>
      <c r="F222" s="4"/>
    </row>
    <row r="223" spans="1:6" x14ac:dyDescent="0.2">
      <c r="A223" s="1" t="s">
        <v>12</v>
      </c>
      <c r="B223" s="4">
        <v>41</v>
      </c>
      <c r="C223" s="4">
        <v>51</v>
      </c>
      <c r="D223" s="8">
        <v>170</v>
      </c>
      <c r="E223" s="4">
        <f t="shared" si="21"/>
        <v>119</v>
      </c>
      <c r="F223" s="4"/>
    </row>
    <row r="224" spans="1:6" x14ac:dyDescent="0.2">
      <c r="A224" s="9" t="s">
        <v>137</v>
      </c>
      <c r="B224" s="3">
        <v>12</v>
      </c>
      <c r="C224" s="3">
        <v>22</v>
      </c>
      <c r="D224" s="10">
        <v>130</v>
      </c>
      <c r="E224" s="4">
        <f t="shared" si="21"/>
        <v>108</v>
      </c>
      <c r="F224" s="4"/>
    </row>
    <row r="228" spans="1:6" x14ac:dyDescent="0.2">
      <c r="A228" t="s">
        <v>370</v>
      </c>
    </row>
    <row r="229" spans="1:6" x14ac:dyDescent="0.2">
      <c r="A229" s="2" t="s">
        <v>8</v>
      </c>
      <c r="B229" s="5" t="s">
        <v>1</v>
      </c>
      <c r="C229" s="5" t="s">
        <v>2</v>
      </c>
      <c r="D229" s="6" t="s">
        <v>3</v>
      </c>
      <c r="E229" s="7" t="s">
        <v>4</v>
      </c>
      <c r="F229" s="7" t="s">
        <v>5</v>
      </c>
    </row>
    <row r="230" spans="1:6" x14ac:dyDescent="0.2">
      <c r="A230" s="1" t="s">
        <v>9</v>
      </c>
      <c r="B230" s="4">
        <v>32</v>
      </c>
      <c r="C230" s="4">
        <v>66</v>
      </c>
      <c r="D230" s="8">
        <v>180</v>
      </c>
      <c r="E230" s="4">
        <f>D230-C230</f>
        <v>114</v>
      </c>
      <c r="F230" s="4"/>
    </row>
    <row r="231" spans="1:6" x14ac:dyDescent="0.2">
      <c r="A231" s="1" t="s">
        <v>10</v>
      </c>
      <c r="B231" s="4">
        <v>50</v>
      </c>
      <c r="C231" s="4">
        <v>65</v>
      </c>
      <c r="D231" s="8">
        <v>170</v>
      </c>
      <c r="E231" s="4">
        <f t="shared" ref="E231:E234" si="22">D231-C231</f>
        <v>105</v>
      </c>
      <c r="F231" s="4"/>
    </row>
    <row r="232" spans="1:6" x14ac:dyDescent="0.2">
      <c r="A232" s="1" t="s">
        <v>11</v>
      </c>
      <c r="B232" s="4">
        <v>55</v>
      </c>
      <c r="C232" s="4">
        <v>67</v>
      </c>
      <c r="D232" s="8">
        <v>200</v>
      </c>
      <c r="E232" s="4">
        <f t="shared" si="22"/>
        <v>133</v>
      </c>
      <c r="F232" s="4"/>
    </row>
    <row r="233" spans="1:6" x14ac:dyDescent="0.2">
      <c r="A233" s="1" t="s">
        <v>12</v>
      </c>
      <c r="B233" s="4">
        <v>7</v>
      </c>
      <c r="C233" s="4">
        <v>25</v>
      </c>
      <c r="D233" s="8">
        <v>135</v>
      </c>
      <c r="E233" s="4">
        <f t="shared" si="22"/>
        <v>110</v>
      </c>
      <c r="F233" s="4"/>
    </row>
    <row r="234" spans="1:6" x14ac:dyDescent="0.2">
      <c r="A234" s="9" t="s">
        <v>137</v>
      </c>
      <c r="B234" s="3">
        <v>32</v>
      </c>
      <c r="C234" s="3">
        <v>44</v>
      </c>
      <c r="D234" s="10">
        <v>160</v>
      </c>
      <c r="E234" s="4">
        <f t="shared" si="22"/>
        <v>116</v>
      </c>
      <c r="F234" s="4"/>
    </row>
  </sheetData>
  <mergeCells count="51">
    <mergeCell ref="A35:C35"/>
    <mergeCell ref="A100:C100"/>
    <mergeCell ref="G32:O32"/>
    <mergeCell ref="G33:O33"/>
    <mergeCell ref="G58:O58"/>
    <mergeCell ref="G61:O61"/>
    <mergeCell ref="G36:O36"/>
    <mergeCell ref="G37:O37"/>
    <mergeCell ref="G39:O39"/>
    <mergeCell ref="G40:O40"/>
    <mergeCell ref="G44:O44"/>
    <mergeCell ref="G46:O46"/>
    <mergeCell ref="G47:O47"/>
    <mergeCell ref="A73:C73"/>
    <mergeCell ref="A42:C42"/>
    <mergeCell ref="G43:O43"/>
    <mergeCell ref="A153:C153"/>
    <mergeCell ref="A162:C162"/>
    <mergeCell ref="G8:O8"/>
    <mergeCell ref="A14:C14"/>
    <mergeCell ref="G29:O29"/>
    <mergeCell ref="G30:O30"/>
    <mergeCell ref="A21:C21"/>
    <mergeCell ref="G22:O22"/>
    <mergeCell ref="G23:O23"/>
    <mergeCell ref="G25:O25"/>
    <mergeCell ref="G26:O26"/>
    <mergeCell ref="A28:C28"/>
    <mergeCell ref="G15:O15"/>
    <mergeCell ref="A144:C144"/>
    <mergeCell ref="A135:C135"/>
    <mergeCell ref="A56:C56"/>
    <mergeCell ref="A1:C1"/>
    <mergeCell ref="A7:C7"/>
    <mergeCell ref="G2:O2"/>
    <mergeCell ref="G3:O3"/>
    <mergeCell ref="G5:O5"/>
    <mergeCell ref="F6:N6"/>
    <mergeCell ref="G57:O57"/>
    <mergeCell ref="A49:C49"/>
    <mergeCell ref="G50:O50"/>
    <mergeCell ref="G51:O51"/>
    <mergeCell ref="G53:O53"/>
    <mergeCell ref="G54:O54"/>
    <mergeCell ref="A126:C126"/>
    <mergeCell ref="A118:C118"/>
    <mergeCell ref="A91:C91"/>
    <mergeCell ref="G62:O62"/>
    <mergeCell ref="A82:C82"/>
    <mergeCell ref="A65:C65"/>
    <mergeCell ref="A109:C109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575AA6-8C1F-4CE4-9CAD-1E44F415BDA0}">
  <dimension ref="A1:G22"/>
  <sheetViews>
    <sheetView workbookViewId="0">
      <selection activeCell="H14" sqref="H14"/>
    </sheetView>
  </sheetViews>
  <sheetFormatPr baseColWidth="10" defaultColWidth="9.1640625" defaultRowHeight="15" x14ac:dyDescent="0.2"/>
  <cols>
    <col min="1" max="1" width="32.5" style="20" customWidth="1"/>
    <col min="2" max="2" width="10.6640625" style="20" customWidth="1"/>
    <col min="3" max="3" width="10.6640625" style="20" bestFit="1" customWidth="1"/>
    <col min="4" max="4" width="9.1640625" style="20"/>
    <col min="5" max="5" width="9" style="20" customWidth="1"/>
    <col min="6" max="6" width="9.1640625" style="20" customWidth="1"/>
    <col min="7" max="7" width="8.83203125" customWidth="1"/>
    <col min="8" max="16384" width="9.1640625" style="20"/>
  </cols>
  <sheetData>
    <row r="1" spans="1:6" ht="32" x14ac:dyDescent="0.2">
      <c r="A1" s="21" t="s">
        <v>118</v>
      </c>
      <c r="B1" s="21" t="s">
        <v>203</v>
      </c>
      <c r="C1" s="21" t="s">
        <v>218</v>
      </c>
      <c r="D1" s="21" t="s">
        <v>216</v>
      </c>
      <c r="E1" s="21"/>
      <c r="F1" s="21"/>
    </row>
    <row r="2" spans="1:6" ht="16" x14ac:dyDescent="0.2">
      <c r="A2" s="23" t="s">
        <v>217</v>
      </c>
      <c r="B2" s="25"/>
      <c r="C2" s="26"/>
      <c r="D2" s="25"/>
      <c r="E2" s="21"/>
      <c r="F2" s="21"/>
    </row>
    <row r="3" spans="1:6" ht="16" x14ac:dyDescent="0.2">
      <c r="A3" s="23" t="s">
        <v>124</v>
      </c>
      <c r="B3" s="22"/>
      <c r="C3" s="24"/>
      <c r="D3" s="22"/>
    </row>
    <row r="4" spans="1:6" ht="16" x14ac:dyDescent="0.2">
      <c r="A4" s="23" t="s">
        <v>204</v>
      </c>
      <c r="B4" s="22"/>
      <c r="C4" s="22"/>
      <c r="D4" s="22"/>
    </row>
    <row r="5" spans="1:6" ht="16" x14ac:dyDescent="0.2">
      <c r="A5" s="23" t="s">
        <v>205</v>
      </c>
      <c r="B5" s="22"/>
      <c r="C5" s="24"/>
      <c r="D5" s="22"/>
    </row>
    <row r="6" spans="1:6" ht="16" x14ac:dyDescent="0.2">
      <c r="A6" s="23" t="s">
        <v>189</v>
      </c>
      <c r="B6" s="24"/>
      <c r="C6" s="24"/>
      <c r="D6" s="22"/>
    </row>
    <row r="7" spans="1:6" ht="14.25" customHeight="1" x14ac:dyDescent="0.2">
      <c r="A7" s="23" t="s">
        <v>206</v>
      </c>
      <c r="B7" s="22"/>
      <c r="C7" s="22"/>
      <c r="D7" s="22"/>
    </row>
    <row r="8" spans="1:6" ht="16" x14ac:dyDescent="0.2">
      <c r="A8" s="23" t="s">
        <v>198</v>
      </c>
      <c r="B8" s="22"/>
      <c r="C8" s="24"/>
      <c r="D8" s="22"/>
    </row>
    <row r="9" spans="1:6" ht="16" x14ac:dyDescent="0.2">
      <c r="A9" s="23" t="s">
        <v>207</v>
      </c>
      <c r="B9" s="22"/>
      <c r="C9" s="24"/>
      <c r="D9" s="22"/>
    </row>
    <row r="10" spans="1:6" ht="16" x14ac:dyDescent="0.2">
      <c r="A10" s="23" t="s">
        <v>208</v>
      </c>
      <c r="B10" s="22"/>
      <c r="C10" s="24"/>
      <c r="D10" s="22"/>
    </row>
    <row r="11" spans="1:6" ht="16" x14ac:dyDescent="0.2">
      <c r="A11" s="23" t="s">
        <v>209</v>
      </c>
      <c r="B11" s="22"/>
      <c r="C11" s="24"/>
      <c r="D11" s="22"/>
    </row>
    <row r="12" spans="1:6" ht="16" x14ac:dyDescent="0.2">
      <c r="A12" s="23" t="s">
        <v>210</v>
      </c>
      <c r="B12" s="22"/>
      <c r="C12" s="24"/>
      <c r="D12" s="22"/>
    </row>
    <row r="13" spans="1:6" ht="16" x14ac:dyDescent="0.2">
      <c r="A13" s="23" t="s">
        <v>211</v>
      </c>
      <c r="B13" s="22"/>
      <c r="C13" s="24"/>
      <c r="D13" s="22"/>
    </row>
    <row r="14" spans="1:6" ht="16" x14ac:dyDescent="0.2">
      <c r="A14" s="23" t="s">
        <v>212</v>
      </c>
      <c r="B14" s="22"/>
      <c r="C14" s="24"/>
      <c r="D14" s="22"/>
    </row>
    <row r="15" spans="1:6" ht="16" x14ac:dyDescent="0.2">
      <c r="A15" s="23" t="s">
        <v>213</v>
      </c>
      <c r="B15" s="22"/>
      <c r="C15" s="24"/>
      <c r="D15" s="22"/>
    </row>
    <row r="16" spans="1:6" ht="16" x14ac:dyDescent="0.2">
      <c r="A16" s="23" t="s">
        <v>214</v>
      </c>
      <c r="B16" s="22"/>
      <c r="C16" s="24"/>
      <c r="D16" s="22"/>
    </row>
    <row r="17" spans="1:4" ht="16" x14ac:dyDescent="0.2">
      <c r="A17" s="23" t="s">
        <v>215</v>
      </c>
      <c r="B17" s="22"/>
      <c r="C17" s="24"/>
      <c r="D17" s="22"/>
    </row>
    <row r="18" spans="1:4" ht="16" x14ac:dyDescent="0.2">
      <c r="A18" s="23" t="s">
        <v>197</v>
      </c>
      <c r="B18" s="22"/>
      <c r="C18" s="24"/>
      <c r="D18" s="22"/>
    </row>
    <row r="19" spans="1:4" ht="16" x14ac:dyDescent="0.2">
      <c r="A19" s="23" t="s">
        <v>190</v>
      </c>
      <c r="B19" s="22"/>
      <c r="C19" s="24"/>
      <c r="D19" s="22"/>
    </row>
    <row r="20" spans="1:4" ht="16.5" customHeight="1" x14ac:dyDescent="0.2">
      <c r="A20" s="20" t="s">
        <v>252</v>
      </c>
      <c r="B20" s="27"/>
      <c r="C20" s="30"/>
      <c r="D20" s="24"/>
    </row>
    <row r="21" spans="1:4" ht="16" x14ac:dyDescent="0.2">
      <c r="A21" s="23" t="s">
        <v>253</v>
      </c>
      <c r="C21" s="30"/>
      <c r="D21" s="24"/>
    </row>
    <row r="22" spans="1:4" ht="48" x14ac:dyDescent="0.2">
      <c r="A22" s="23"/>
      <c r="B22" s="20" t="s">
        <v>219</v>
      </c>
      <c r="D22" s="20" t="s">
        <v>254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43E487-FDF3-414F-BFBB-9D593816FCAD}">
  <dimension ref="A1:A26"/>
  <sheetViews>
    <sheetView workbookViewId="0">
      <selection activeCell="J25" sqref="J25"/>
    </sheetView>
  </sheetViews>
  <sheetFormatPr baseColWidth="10" defaultColWidth="8.83203125" defaultRowHeight="15" x14ac:dyDescent="0.2"/>
  <cols>
    <col min="1" max="1" width="44" customWidth="1"/>
  </cols>
  <sheetData>
    <row r="1" spans="1:1" x14ac:dyDescent="0.2">
      <c r="A1" s="23"/>
    </row>
    <row r="2" spans="1:1" ht="16" x14ac:dyDescent="0.2">
      <c r="A2" s="23" t="s">
        <v>255</v>
      </c>
    </row>
    <row r="3" spans="1:1" ht="16" x14ac:dyDescent="0.2">
      <c r="A3" s="23" t="s">
        <v>256</v>
      </c>
    </row>
    <row r="4" spans="1:1" ht="16" x14ac:dyDescent="0.2">
      <c r="A4" s="23" t="s">
        <v>257</v>
      </c>
    </row>
    <row r="5" spans="1:1" ht="16" x14ac:dyDescent="0.2">
      <c r="A5" s="23" t="s">
        <v>258</v>
      </c>
    </row>
    <row r="6" spans="1:1" ht="16" x14ac:dyDescent="0.2">
      <c r="A6" s="23" t="s">
        <v>261</v>
      </c>
    </row>
    <row r="7" spans="1:1" ht="16" x14ac:dyDescent="0.2">
      <c r="A7" s="23" t="s">
        <v>259</v>
      </c>
    </row>
    <row r="8" spans="1:1" ht="16" x14ac:dyDescent="0.2">
      <c r="A8" s="23" t="s">
        <v>262</v>
      </c>
    </row>
    <row r="9" spans="1:1" ht="16" x14ac:dyDescent="0.2">
      <c r="A9" s="23" t="s">
        <v>260</v>
      </c>
    </row>
    <row r="10" spans="1:1" ht="16" x14ac:dyDescent="0.2">
      <c r="A10" s="23" t="s">
        <v>263</v>
      </c>
    </row>
    <row r="11" spans="1:1" ht="16" x14ac:dyDescent="0.2">
      <c r="A11" s="23" t="s">
        <v>267</v>
      </c>
    </row>
    <row r="12" spans="1:1" ht="16" x14ac:dyDescent="0.2">
      <c r="A12" s="23" t="s">
        <v>268</v>
      </c>
    </row>
    <row r="13" spans="1:1" ht="16" x14ac:dyDescent="0.2">
      <c r="A13" s="23" t="s">
        <v>264</v>
      </c>
    </row>
    <row r="14" spans="1:1" ht="16" x14ac:dyDescent="0.2">
      <c r="A14" s="23" t="s">
        <v>269</v>
      </c>
    </row>
    <row r="15" spans="1:1" ht="16" x14ac:dyDescent="0.2">
      <c r="A15" s="23" t="s">
        <v>270</v>
      </c>
    </row>
    <row r="16" spans="1:1" ht="16" x14ac:dyDescent="0.2">
      <c r="A16" s="23" t="s">
        <v>265</v>
      </c>
    </row>
    <row r="17" spans="1:1" ht="16" x14ac:dyDescent="0.2">
      <c r="A17" s="28" t="s">
        <v>266</v>
      </c>
    </row>
    <row r="18" spans="1:1" ht="16" x14ac:dyDescent="0.2">
      <c r="A18" s="28" t="s">
        <v>253</v>
      </c>
    </row>
    <row r="19" spans="1:1" ht="16" x14ac:dyDescent="0.2">
      <c r="A19" s="23" t="s">
        <v>271</v>
      </c>
    </row>
    <row r="20" spans="1:1" ht="16" x14ac:dyDescent="0.2">
      <c r="A20" s="23" t="s">
        <v>272</v>
      </c>
    </row>
    <row r="21" spans="1:1" ht="16" x14ac:dyDescent="0.2">
      <c r="A21" s="23" t="s">
        <v>273</v>
      </c>
    </row>
    <row r="22" spans="1:1" ht="16" x14ac:dyDescent="0.2">
      <c r="A22" s="23" t="s">
        <v>274</v>
      </c>
    </row>
    <row r="23" spans="1:1" ht="16" x14ac:dyDescent="0.2">
      <c r="A23" s="23" t="s">
        <v>275</v>
      </c>
    </row>
    <row r="24" spans="1:1" ht="16" x14ac:dyDescent="0.2">
      <c r="A24" s="23" t="s">
        <v>276</v>
      </c>
    </row>
    <row r="25" spans="1:1" ht="16" x14ac:dyDescent="0.2">
      <c r="A25" s="23" t="s">
        <v>277</v>
      </c>
    </row>
    <row r="26" spans="1:1" ht="16" x14ac:dyDescent="0.2">
      <c r="A26" s="23" t="s">
        <v>278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spacer analysis</vt:lpstr>
      <vt:lpstr>zero, start, end</vt:lpstr>
      <vt:lpstr>CZI file storage locations</vt:lpstr>
      <vt:lpstr>Fly Lines for IBC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Emilia Leyes</dc:creator>
  <cp:lastModifiedBy>Lim, Bomyi</cp:lastModifiedBy>
  <dcterms:created xsi:type="dcterms:W3CDTF">2015-06-05T18:17:20Z</dcterms:created>
  <dcterms:modified xsi:type="dcterms:W3CDTF">2026-04-06T04:47:28Z</dcterms:modified>
</cp:coreProperties>
</file>